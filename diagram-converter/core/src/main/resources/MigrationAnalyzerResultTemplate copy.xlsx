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ergely.juhasz/code/camunda-7-to-8-data-migrator/diagram-converter/core/src/main/resources/"/>
    </mc:Choice>
  </mc:AlternateContent>
  <xr:revisionPtr revIDLastSave="0" documentId="13_ncr:1_{620D5754-0A7C-A142-8BA7-75518CF68A0F}" xr6:coauthVersionLast="47" xr6:coauthVersionMax="47" xr10:uidLastSave="{00000000-0000-0000-0000-000000000000}"/>
  <bookViews>
    <workbookView xWindow="0" yWindow="780" windowWidth="36000" windowHeight="20700" xr2:uid="{37AF6029-FBA9-4270-B4F7-54857AE36A4F}"/>
  </bookViews>
  <sheets>
    <sheet name="AnalysisSummary" sheetId="10" r:id="rId1"/>
    <sheet name="PivotTable" sheetId="11" r:id="rId2"/>
    <sheet name="AnalysisResults" sheetId="9" r:id="rId3"/>
  </sheets>
  <calcPr calcId="191029" iterateDelta="1E-4"/>
  <pivotCaches>
    <pivotCache cacheId="168" r:id="rId4"/>
    <pivotCache cacheId="182" r:id="rId5"/>
    <pivotCache cacheId="20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" i="9"/>
  <c r="F26" i="10"/>
  <c r="F28" i="10"/>
  <c r="F27" i="10"/>
  <c r="F25" i="10"/>
  <c r="F7" i="10"/>
  <c r="F9" i="10"/>
  <c r="F8" i="10"/>
  <c r="F10" i="10"/>
</calcChain>
</file>

<file path=xl/sharedStrings.xml><?xml version="1.0" encoding="utf-8"?>
<sst xmlns="http://schemas.openxmlformats.org/spreadsheetml/2006/main" count="226" uniqueCount="73">
  <si>
    <t>Count</t>
  </si>
  <si>
    <t>TASK</t>
  </si>
  <si>
    <t>filename</t>
  </si>
  <si>
    <t>elementName</t>
  </si>
  <si>
    <t>elementId</t>
  </si>
  <si>
    <t>elementType</t>
  </si>
  <si>
    <t>severity</t>
  </si>
  <si>
    <t>messageId</t>
  </si>
  <si>
    <t>message</t>
  </si>
  <si>
    <t>link</t>
  </si>
  <si>
    <t>WARNING</t>
  </si>
  <si>
    <t>process</t>
  </si>
  <si>
    <t>INFO</t>
  </si>
  <si>
    <t>startEvent</t>
  </si>
  <si>
    <t>property</t>
  </si>
  <si>
    <t>serviceTask</t>
  </si>
  <si>
    <t>Grand Total</t>
  </si>
  <si>
    <t>Row Labels</t>
  </si>
  <si>
    <t>(blank)</t>
  </si>
  <si>
    <t>%</t>
  </si>
  <si>
    <t>Distinct tasks by severity</t>
  </si>
  <si>
    <t>All taks by severity</t>
  </si>
  <si>
    <t>This table groups all identified tasks for migration by severity. This can help you get a feeling for the amount of overall work to do in your migration project.</t>
  </si>
  <si>
    <t>This table shows only distinct task types (identified by messageId), so for example when you have to adjust 10 ServiceTasks with JavaDelegates, it is only counted once.</t>
  </si>
  <si>
    <t>Details</t>
  </si>
  <si>
    <t>Browse details by using the Pivot Table below</t>
  </si>
  <si>
    <t>Element Types</t>
  </si>
  <si>
    <t>To dive deeper:</t>
  </si>
  <si>
    <t>This table shows the distribution of BPMN elements that need adjustments</t>
  </si>
  <si>
    <t>Files</t>
  </si>
  <si>
    <t>This table shows the distribution of tasks across the provided files</t>
  </si>
  <si>
    <t>Camunda Migration Analyzer Report</t>
  </si>
  <si>
    <t>- Raw data table</t>
  </si>
  <si>
    <t>You can also create your own pivot tables or create a data table out of the AnalysisResult's, so that you can easily filter and understand your data.</t>
  </si>
  <si>
    <t>- Pivot table</t>
  </si>
  <si>
    <t>REVIEW</t>
  </si>
  <si>
    <t>all-properties-process.bpmn</t>
  </si>
  <si>
    <t>All properties process</t>
  </si>
  <si>
    <t>AllPropertiesProcess</t>
  </si>
  <si>
    <t>execution-listener-supported</t>
  </si>
  <si>
    <t>Execution Listener at 'start' with implementation 'com.camunda.StartListener' can be transformed to a job worker. Please adjust the job type.</t>
  </si>
  <si>
    <t>Execution Listener at 'end' with implementation 'com.camunda.EndListener' can be transformed to a job worker. Please adjust the job type.</t>
  </si>
  <si>
    <t>Element 'property' was transformed. Property 'myProcessProperty' lives in the Zeebe namespace now.</t>
  </si>
  <si>
    <t>All properties wanted</t>
  </si>
  <si>
    <t>StartEvent_1</t>
  </si>
  <si>
    <t>Service task</t>
  </si>
  <si>
    <t>Activity_00zr8kg</t>
  </si>
  <si>
    <t>field-content</t>
  </si>
  <si>
    <t>Element 'field' cannot be transformed. Field injection is not available in Zeebe. Instead, please use Input mappings.</t>
  </si>
  <si>
    <t>Element 'expression' cannot be transformed. Field injection is not available in Zeebe. Instead, please use Input mappings.</t>
  </si>
  <si>
    <t>Execution Listener at 'start' with implementation 'com.camunda.StartExecutionListener' can be transformed to a job worker. Please adjust the job type.</t>
  </si>
  <si>
    <t>Execution Listener at 'end' with implementation 'com.camundaEndExecutionListener' can be transformed to a job worker. Please adjust the job type.</t>
  </si>
  <si>
    <t>delegate-expression-as-job-type</t>
  </si>
  <si>
    <t>Delegate class or expression 'com.camunda.MyJavaDelegate' has been transformed to job type 'myJavaDelegate'.</t>
  </si>
  <si>
    <t>Element 'property' was transformed. Property 'someTaskExtension' lives in the Zeebe namespace now.</t>
  </si>
  <si>
    <t>call-activity-deployment.bpmn</t>
  </si>
  <si>
    <t>call deployment</t>
  </si>
  <si>
    <t>callDeployment</t>
  </si>
  <si>
    <t>callActivity</t>
  </si>
  <si>
    <t>in-all-hint</t>
  </si>
  <si>
    <t>Element 'camunda:in' with attribute 'variables="all"' is mapped to 'propagateAllParentVariables="true"'.</t>
  </si>
  <si>
    <t>out-all-hint</t>
  </si>
  <si>
    <t>Element 'camunda:out' with attribute 'variables="all"' is mapped to 'propagateAllChildVariables="true"'.</t>
  </si>
  <si>
    <t>call-activity-latest.bpmn</t>
  </si>
  <si>
    <t>call latest</t>
  </si>
  <si>
    <t>callLatest</t>
  </si>
  <si>
    <t>called-element-ref-deployment.bpmn</t>
  </si>
  <si>
    <t>called-element-ref-binding</t>
  </si>
  <si>
    <t>Called element reference binding has been mapped.</t>
  </si>
  <si>
    <t>called-element-ref-version.bpmn</t>
  </si>
  <si>
    <t>called-element-ref-version-tag</t>
  </si>
  <si>
    <t>Called element reference version tag has been mapped.</t>
  </si>
  <si>
    <t>IsFirstMessageIdOccurrence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</si>
</sst>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4"/>
      <color rgb="FF000000"/>
      <name val="Arial"/>
      <family val="2"/>
    </font>
    <font>
      <u/>
      <sz val="12"/>
      <color rgb="FF0000EE"/>
      <name val="Arial"/>
      <family val="2"/>
    </font>
    <font>
      <b/>
      <sz val="20"/>
      <color rgb="FF000000"/>
      <name val="Arial"/>
      <family val="2"/>
    </font>
    <font>
      <b/>
      <u/>
      <sz val="11"/>
      <color rgb="FF000000"/>
      <name val="Arial"/>
      <family val="2"/>
    </font>
    <font>
      <sz val="9.9"/>
      <color rgb="FF121212"/>
      <name val="Aptos Narrow"/>
      <family val="2"/>
      <scheme val="minor"/>
    </font>
    <font>
      <sz val="13"/>
      <color rgb="FF121212"/>
      <name val="Consolas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" fillId="0" borderId="0"/>
    <xf numFmtId="0" fontId="1" fillId="0" borderId="0"/>
    <xf numFmtId="0" fontId="4" fillId="0" borderId="0"/>
  </cellStyleXfs>
  <cellXfs count="19">
    <xf numFmtId="0" fontId="0" fillId="0" borderId="0" xfId="0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4" fillId="9" borderId="0" xfId="0" applyFont="1" applyFill="1"/>
    <xf numFmtId="0" fontId="0" fillId="9" borderId="0" xfId="0" applyFill="1" applyAlignment="1">
      <alignment horizontal="right"/>
    </xf>
    <xf numFmtId="0" fontId="0" fillId="9" borderId="0" xfId="0" applyFill="1"/>
    <xf numFmtId="0" fontId="16" fillId="10" borderId="0" xfId="0" applyFont="1" applyFill="1"/>
    <xf numFmtId="0" fontId="16" fillId="10" borderId="0" xfId="0" applyFont="1" applyFill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right"/>
    </xf>
    <xf numFmtId="0" fontId="15" fillId="10" borderId="0" xfId="14" quotePrefix="1" applyFont="1" applyFill="1"/>
    <xf numFmtId="0" fontId="17" fillId="0" borderId="0" xfId="0" applyFont="1"/>
    <xf numFmtId="0" fontId="18" fillId="0" borderId="0" xfId="0" applyFont="1"/>
    <xf numFmtId="0" fontId="19" fillId="0" borderId="0" xfId="0" applyFont="1"/>
    <xf numFmtId="10" fontId="0" fillId="0" borderId="0" xfId="0" applyNumberFormat="1"/>
    <xf numFmtId="0" fontId="0" fillId="0" borderId="0" xfId="0" applyNumberFormat="1"/>
  </cellXfs>
  <cellStyles count="18">
    <cellStyle name="Accent" xfId="7" xr:uid="{DD0129AB-314D-4116-B78C-76E2DE29A837}"/>
    <cellStyle name="Accent 1" xfId="8" xr:uid="{358D530F-640D-4E9B-8119-2C6535272EA7}"/>
    <cellStyle name="Accent 2" xfId="9" xr:uid="{8A8411F6-D6C7-4B89-ACC0-BAF4D182A337}"/>
    <cellStyle name="Accent 3" xfId="10" xr:uid="{C0832A04-C11F-4D7C-BEC8-07347C916B48}"/>
    <cellStyle name="Bad" xfId="4" builtinId="27" customBuiltin="1"/>
    <cellStyle name="Error" xfId="11" xr:uid="{3B0679AA-F30D-479C-AB3A-EDFCE41EDC37}"/>
    <cellStyle name="Footnote" xfId="12" xr:uid="{6261883E-4AD0-48F7-B23C-51E785AB1A82}"/>
    <cellStyle name="Good" xfId="3" builtinId="26" customBuiltin="1"/>
    <cellStyle name="Heading" xfId="13" xr:uid="{32CA9D82-B335-4240-B4E1-6A45345AC4FC}"/>
    <cellStyle name="Heading 1" xfId="1" builtinId="16" customBuiltin="1"/>
    <cellStyle name="Heading 2" xfId="2" builtinId="17" customBuiltin="1"/>
    <cellStyle name="Hyperlink" xfId="14" xr:uid="{13D15AD0-92B1-46C1-856D-1C5E49ACFA7C}"/>
    <cellStyle name="Neutral" xfId="5" builtinId="28" customBuiltin="1"/>
    <cellStyle name="Normal" xfId="0" builtinId="0" customBuiltin="1"/>
    <cellStyle name="Note" xfId="6" builtinId="10" customBuiltin="1"/>
    <cellStyle name="Status" xfId="15" xr:uid="{757230B1-A7FF-4D99-B701-A33345A377AB}"/>
    <cellStyle name="Text" xfId="16" xr:uid="{A3E51E7C-2883-4E2F-9BCC-69EF4D812258}"/>
    <cellStyle name="Warning" xfId="17" xr:uid="{BCFA8259-01E3-428E-8C23-0187538E9947}"/>
  </cellStyles>
  <dxfs count="10"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4" formatCode="0.00%"/>
    </dxf>
    <dxf>
      <alignment horizontal="right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CD-0B48-9992-4938A337E3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CD-0B48-9992-4938A337E3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CD-0B48-9992-4938A337E3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A8-0345-80DD-B9B539FDCF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AnalysisSummary!$E$7:$E$10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Ref>
              <c:f>AnalysisSummary!$F$7:$F$10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A39-4ED9-85A4-93F6EC9B61F8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CD-0B48-9992-4938A337E3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CD-0B48-9992-4938A337E3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CD-0B48-9992-4938A337E3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AnalysisSummary!$E$7:$E$10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Lit>
              <c:formatCode>General</c:formatCode>
              <c:ptCount val="3"/>
              <c:pt idx="0">
                <c:v>0.18181818181818182</c:v>
              </c:pt>
              <c:pt idx="1">
                <c:v>0.18181818181818182</c:v>
              </c:pt>
              <c:pt idx="2">
                <c:v>0.63636363636363635</c:v>
              </c:pt>
            </c:numLit>
          </c:val>
          <c:extLst>
            <c:ext xmlns:c16="http://schemas.microsoft.com/office/drawing/2014/chart" uri="{C3380CC4-5D6E-409C-BE32-E72D297353CC}">
              <c16:uniqueId val="{00000011-5A39-4ED9-85A4-93F6EC9B61F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7-432C-A0BB-0F8DA587E5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7-432C-A0BB-0F8DA587E5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87-432C-A0BB-0F8DA587E5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87-432C-A0BB-0F8DA587E5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87-432C-A0BB-0F8DA587E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AnalysisSummary!$E$25:$E$28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Ref>
              <c:f>AnalysisSummary!$F$25:$F$28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950-990F-EB57487A88D1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87-432C-A0BB-0F8DA587E5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B87-432C-A0BB-0F8DA587E5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B87-432C-A0BB-0F8DA587E5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B87-432C-A0BB-0F8DA587E5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B87-432C-A0BB-0F8DA587E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AnalysisSummary!$E$25:$E$28</c:f>
              <c:strCache>
                <c:ptCount val="4"/>
                <c:pt idx="0">
                  <c:v>INFO</c:v>
                </c:pt>
                <c:pt idx="1">
                  <c:v>TASK</c:v>
                </c:pt>
                <c:pt idx="2">
                  <c:v>WARNING</c:v>
                </c:pt>
                <c:pt idx="3">
                  <c:v>REVIEW</c:v>
                </c:pt>
              </c:strCache>
            </c:strRef>
          </c:cat>
          <c:val>
            <c:numLit>
              <c:formatCode>General</c:formatCode>
              <c:ptCount val="4"/>
              <c:pt idx="0">
                <c:v>0.125</c:v>
              </c:pt>
              <c:pt idx="1">
                <c:v>0.25</c:v>
              </c:pt>
              <c:pt idx="2">
                <c:v>0.25</c:v>
              </c:pt>
              <c:pt idx="3">
                <c:v>0.375</c:v>
              </c:pt>
            </c:numLit>
          </c:val>
          <c:extLst>
            <c:ext xmlns:c16="http://schemas.microsoft.com/office/drawing/2014/chart" uri="{C3380CC4-5D6E-409C-BE32-E72D297353CC}">
              <c16:uniqueId val="{00000001-95AE-4950-990F-EB57487A88D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[MigrationAnalyzerResultTemplate copy.xlsx]AnalysisSummary!PivotTable10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AnalysisSummary!$B$50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AnalysisSummary!$A$51:$A$56</c:f>
              <c:strCache>
                <c:ptCount val="5"/>
                <c:pt idx="0">
                  <c:v>callActivity</c:v>
                </c:pt>
                <c:pt idx="1">
                  <c:v>process</c:v>
                </c:pt>
                <c:pt idx="2">
                  <c:v>serviceTask</c:v>
                </c:pt>
                <c:pt idx="3">
                  <c:v>startEvent</c:v>
                </c:pt>
                <c:pt idx="4">
                  <c:v>(blank)</c:v>
                </c:pt>
              </c:strCache>
            </c:strRef>
          </c:cat>
          <c:val>
            <c:numRef>
              <c:f>AnalysisSummary!$B$51:$B$56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8-4C57-B9A2-7180763CD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67775"/>
        <c:axId val="1389168255"/>
      </c:barChart>
      <c:catAx>
        <c:axId val="138916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168255"/>
        <c:crosses val="autoZero"/>
        <c:auto val="1"/>
        <c:lblAlgn val="ctr"/>
        <c:lblOffset val="100"/>
        <c:noMultiLvlLbl val="0"/>
      </c:catAx>
      <c:valAx>
        <c:axId val="13891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16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[MigrationAnalyzerResultTemplate copy.xlsx]AnalysisSummary!PivotTable9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AnalysisSummary!$B$74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AnalysisSummary!$A$75:$A$81</c:f>
              <c:strCache>
                <c:ptCount val="6"/>
                <c:pt idx="0">
                  <c:v>(blank)</c:v>
                </c:pt>
                <c:pt idx="1">
                  <c:v>all-properties-process.bpmn</c:v>
                </c:pt>
                <c:pt idx="2">
                  <c:v>call-activity-deployment.bpmn</c:v>
                </c:pt>
                <c:pt idx="3">
                  <c:v>call-activity-latest.bpmn</c:v>
                </c:pt>
                <c:pt idx="4">
                  <c:v>called-element-ref-deployment.bpmn</c:v>
                </c:pt>
                <c:pt idx="5">
                  <c:v>called-element-ref-version.bpmn</c:v>
                </c:pt>
              </c:strCache>
            </c:strRef>
          </c:cat>
          <c:val>
            <c:numRef>
              <c:f>AnalysisSummary!$B$75:$B$81</c:f>
              <c:numCache>
                <c:formatCode>General</c:formatCode>
                <c:ptCount val="6"/>
                <c:pt idx="1">
                  <c:v>10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3-4C89-8C57-6127BC60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052095"/>
        <c:axId val="1389066015"/>
      </c:barChart>
      <c:catAx>
        <c:axId val="13890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066015"/>
        <c:crosses val="autoZero"/>
        <c:auto val="1"/>
        <c:lblAlgn val="ctr"/>
        <c:lblOffset val="100"/>
        <c:noMultiLvlLbl val="0"/>
      </c:catAx>
      <c:valAx>
        <c:axId val="138906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890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114300</xdr:rowOff>
    </xdr:from>
    <xdr:to>
      <xdr:col>8</xdr:col>
      <xdr:colOff>654050</xdr:colOff>
      <xdr:row>19</xdr:row>
      <xdr:rowOff>146051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93611A-6023-09F8-A423-E9EAEE4FB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571500</xdr:colOff>
      <xdr:row>23</xdr:row>
      <xdr:rowOff>9525</xdr:rowOff>
    </xdr:from>
    <xdr:to>
      <xdr:col>8</xdr:col>
      <xdr:colOff>666750</xdr:colOff>
      <xdr:row>38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DC6E45-AAF1-5743-0CD9-5445BAB2D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15874</xdr:colOff>
      <xdr:row>49</xdr:row>
      <xdr:rowOff>15874</xdr:rowOff>
    </xdr:from>
    <xdr:to>
      <xdr:col>14</xdr:col>
      <xdr:colOff>660399</xdr:colOff>
      <xdr:row>68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A2FB40-75BA-767C-368F-561C96E7F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584200</xdr:colOff>
      <xdr:row>73</xdr:row>
      <xdr:rowOff>9525</xdr:rowOff>
    </xdr:from>
    <xdr:to>
      <xdr:col>15</xdr:col>
      <xdr:colOff>12699</xdr:colOff>
      <xdr:row>88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A17DAA-F547-46C3-BBC0-782B6D508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rgely Juhasz" refreshedDate="46171.631267476849" createdVersion="8" refreshedVersion="8" minRefreshableVersion="3" recordCount="20" xr:uid="{559EDA1B-7BBA-4D44-803F-2E3FC3C7560F}">
  <cacheSource type="worksheet">
    <worksheetSource ref="A1:G1048576" sheet="AnalysisResults"/>
  </cacheSource>
  <cacheFields count="7">
    <cacheField name="filename" numFmtId="0">
      <sharedItems containsBlank="1"/>
    </cacheField>
    <cacheField name="elementName" numFmtId="0">
      <sharedItems containsBlank="1"/>
    </cacheField>
    <cacheField name="elementId" numFmtId="0">
      <sharedItems containsBlank="1"/>
    </cacheField>
    <cacheField name="elementType" numFmtId="0">
      <sharedItems containsBlank="1"/>
    </cacheField>
    <cacheField name="severity" numFmtId="0">
      <sharedItems containsBlank="1" count="5">
        <s v="TASK"/>
        <s v="INFO"/>
        <s v="WARNING"/>
        <s v="REVIEW"/>
        <m/>
      </sharedItems>
    </cacheField>
    <cacheField name="messageId" numFmtId="0">
      <sharedItems containsBlank="1" count="44">
        <s v="execution-listener-supported"/>
        <s v="property"/>
        <s v="field-content"/>
        <s v="delegate-expression-as-job-type"/>
        <s v="in-all-hint"/>
        <s v="out-all-hint"/>
        <s v="called-element-ref-binding"/>
        <s v="called-element-ref-version-tag"/>
        <m/>
        <s v="attribute-not-supported" u="1"/>
        <s v="correlation-key-hint" u="1"/>
        <s v="version-tag" u="1"/>
        <s v="camunda-script" u="1"/>
        <s v="input-output-parameter-is-no-expression" u="1"/>
        <s v="input-output-parameter-method" u="1"/>
        <s v="input-output-parameter" u="1"/>
        <s v="connector-id" u="1"/>
        <s v="attribute-removed" u="1"/>
        <s v="connector-hint" u="1"/>
        <s v="task-listener" u="1"/>
        <s v="form-data" u="1"/>
        <s v="assignee" u="1"/>
        <s v="candidate-groups" u="1"/>
        <s v="due-date" u="1"/>
        <s v="form-key" u="1"/>
        <s v="error-event-definition" u="1"/>
        <s v="topic" u="1"/>
        <s v="delegate-implementation" u="1"/>
        <s v="failed-job-retry-time-cycle" u="1"/>
        <s v="in-out-business-key-not-supported" u="1"/>
        <s v="loop-cardinality" u="1"/>
        <s v="collection-hint" u="1"/>
        <s v="called-element" u="1"/>
        <s v="collection" u="1"/>
        <s v="completion-condition" u="1"/>
        <s v="element-variable" u="1"/>
        <s v="result-variable-business-rule" u="1"/>
        <s v="decision-ref" u="1"/>
        <s v="element-not-supported-hint" u="1"/>
        <s v="condition-expression" u="1"/>
        <s v="script-format" u="1"/>
        <s v="script-job-type" u="1"/>
        <s v="script" u="1"/>
        <s v="resource" u="1"/>
      </sharedItems>
    </cacheField>
    <cacheField name="message" numFmtId="0">
      <sharedItems containsBlank="1" count="80">
        <s v="Execution Listener at 'start' with implementation 'com.camunda.StartListener' can be transformed to a job worker. Please adjust the job type."/>
        <s v="Execution Listener at 'end' with implementation 'com.camunda.EndListener' can be transformed to a job worker. Please adjust the job type."/>
        <s v="Element 'property' was transformed. Property 'myProcessProperty' lives in the Zeebe namespace now."/>
        <s v="Element 'field' cannot be transformed. Field injection is not available in Zeebe. Instead, please use Input mappings."/>
        <s v="Element 'expression' cannot be transformed. Field injection is not available in Zeebe. Instead, please use Input mappings."/>
        <s v="Execution Listener at 'start' with implementation 'com.camunda.StartExecutionListener' can be transformed to a job worker. Please adjust the job type."/>
        <s v="Execution Listener at 'end' with implementation 'com.camundaEndExecutionListener' can be transformed to a job worker. Please adjust the job type."/>
        <s v="Delegate class or expression 'com.camunda.MyJavaDelegate' has been transformed to job type 'myJavaDelegate'."/>
        <s v="Element 'property' was transformed. Property 'someTaskExtension' lives in the Zeebe namespace now."/>
        <s v="Element 'camunda:in' with attribute 'variables=&quot;all&quot;' is mapped to 'propagateAllParentVariables=&quot;true&quot;'."/>
        <s v="Element 'camunda:out' with attribute 'variables=&quot;all&quot;' is mapped to 'propagateAllChildVariables=&quot;true&quot;'."/>
        <s v="Called element reference binding has been mapped."/>
        <s v="Called element reference version tag has been mapped."/>
        <m/>
        <s v="Attribute 'errorMessage' with value 'Error Message' on 'error' is not supported." u="1"/>
        <s v="Please define a correlation key if the message is used in a message catch event." u="1"/>
        <s v="Version tag has been mapped." u="1"/>
        <s v="Attribute 'initiator' with value '${user}' on 'startEvent' is not supported." u="1"/>
        <s v="Attribute 'formKey' with value 'ousebpsv' on 'startEvent' is not supported." u="1"/>
        <s v="Element 'property' was transformed. Property 'key' lives in the Zeebe namespace now." u="1"/>
        <s v="Element 'script' cannot be transformed. Script 'scriptInput = outerValue;' with format 'javascript' on 'inputParameter'." u="1"/>
        <s v="Element 'inputParameter' cannot be transformed. Parameter 'listInput': Only String, Expression or inline FEEL script is supported as Input/Output." u="1"/>
        <s v="Element 'inputParameter' cannot be transformed. Parameter 'mapInput': Only String, Expression or inline FEEL script is supported as Input/Output." u="1"/>
        <s v="Element 'script' cannot be transformed. Script 'classpath://script.js' with format 'javascript' on 'inputParameter'." u="1"/>
        <s v="Element 'outputParameter' was transformed. Parameter 'result': Transformed expression: '${response.getBody()}' -&gt; '=response.getBody()'. Method invocation is not possible in FEEL." u="1"/>
        <s v="Element 'inputParameter' was transformed. Parameter 'url': Please review transformed expression: '${endpointUrl}' -&gt; '=endpointUrl'." u="1"/>
        <s v="Element 'connectorId' was transformed. Connector id is transformed to Zeebe job type." u="1"/>
        <s v="Element 'inputParameter' was transformed. Parameter 'someInput': Please review transformed expression: '${fromHere}' -&gt; '=fromHere'." u="1"/>
        <s v="Element 'outputParameter' was transformed. Parameter 'globalVar': Please review transformed expression: '${localVar}' -&gt; '=localVar'." u="1"/>
        <s v="Unused attribute 'asyncAfter' on 'serviceTask' is removed." u="1"/>
        <s v="Unused attribute 'asyncBefore' on 'serviceTask' is removed." u="1"/>
        <s v="Connectors will be defined as jobs in Zeebe." u="1"/>
        <s v="Element 'script' cannot be transformed. Script 'print(&quot;Hello World&quot;);' with format 'kotlin' on 'executionListener'." u="1"/>
        <s v="Listener at 'create' with implementation 'awdawd' cannot be transformed. Task Listeners do not exist in Zeebe." u="1"/>
        <s v="Element 'formData' cannot be transformed. Please define a form key instead." u="1"/>
        <s v="Listener at 'start' with implementation 'kotlin' can be transformed to a job worker. Please adjust the job type." u="1"/>
        <s v="Attribute 'assignee' on 'userTask' was mapped. Please review transformed expression: 'demo' -&gt; 'demo'." u="1"/>
        <s v="Attribute 'candidateGroups' on 'userTask' was mapped. Please review transformed expression: 'management' -&gt; 'management'." u="1"/>
        <s v="Attribute 'dueDate' on 'userTask' was mapped. Please review transformed expression: '${now()}' -&gt; '=now()'." u="1"/>
        <s v="Attribute 'formKey' on 'userTask' was mapped. Form key is now set in Zeebe namespace. If you plan to use Camunda forms, please switch to form id and binding." u="1"/>
        <s v="Unused attribute 'asyncBefore' on 'userTask' is removed." u="1"/>
        <s v="Element 'errorEventDefinition' cannot be transformed." u="1"/>
        <s v="Attribute 'topic' on 'serviceTask' was mapped. Is set as job type." u="1"/>
        <s v="Unused attribute 'type' on 'serviceTask' is removed." u="1"/>
        <s v="Attribute 'class' on 'serviceTask' was mapped. Delegate call to 'com.camunda.MyDelegate' was transformed to job type 'camunda-7-adapter'. Please review your implementation." u="1"/>
        <s v="Element 'failedJobRetryTimeCycle' was transformed. The timecycle 'R3/PT10S' was transformed to '3' retries. Please review. Please keep in mind that the timeout 'PT10S', 'PT10S', 'PT10S' between the retries has to be defined by your worker implementation." u="1"/>
        <s v="Attribute 'calledElementTenantId' with value 'awdawdawd' on 'callActivity' is not supported." u="1"/>
        <s v="Element 'in' cannot be transformed. businessKey has to be a process variable in Zeebe." u="1"/>
        <s v="Loop cardinality is currently not supported." u="1"/>
        <s v="Collecting results in a multi instance is now natively possible with Zeebe. Please review." u="1"/>
        <s v="Attribute 'calledElement' on 'callActivity' was mapped. Please review transformed expression: 'awdawd' -&gt; 'awdawd'." u="1"/>
        <s v="Element 'in' was transformed. Parameter 'bla': Please review transformed expression: 'bla' -&gt; '=bla'." u="1"/>
        <s v="Element 'in' was transformed. Parameter 'lilalu': Please review transformed expression: '${lilalu}' -&gt; '=lilalu'." u="1"/>
        <s v="Attribute 'collection' on 'multiInstanceLoopCharacteristics' was mapped. Please review transformed expression: 'list' -&gt; 'list'." u="1"/>
        <s v="Completion condition: Please review transformed expression: '${complete}' -&gt; '=complete'." u="1"/>
        <s v="Attribute 'elementVariable' on 'multiInstanceLoopCharacteristics' was mapped. Is set to Zeebe input element." u="1"/>
        <s v="Attribute 'decisionRefVersion' with value '3' on 'businessRuleTask' is not supported." u="1"/>
        <s v="Attribute 'decisionRefTenantId' with value 'testTenant' on 'businessRuleTask' is not supported." u="1"/>
        <s v="Attribute 'decisionRefBinding' with value 'version' on 'businessRuleTask' is not supported." u="1"/>
        <s v="Attribute 'resultVariable' on 'businessRuleTask' was mapped." u="1"/>
        <s v="Attribute 'decisionRef' on 'businessRuleTask' was mapped. Please review transformed expression: 'myDMN' -&gt; 'myDMN'." u="1"/>
        <s v="Unused attribute 'mapDecisionResult' on 'businessRuleTask' is removed." u="1"/>
        <s v="Attribute 'variableEvents' with value 'create, update' on 'conditionalEventDefinition' is not supported." u="1"/>
        <s v="Attribute 'variableName' with value 'varName' on 'conditionalEventDefinition' is not supported." u="1"/>
        <s v="Element 'Conditional Intermediate Catch Event' is not supported in Zeebe version '8.6'. Please review." u="1"/>
        <s v="Element 'Complex Gateway' is not supported in Zeebe version '8.6'. Please review." u="1"/>
        <s v="Element 'Transaction' is not supported in Zeebe version '8.6'. Please review." u="1"/>
        <s v="Element 'Cancel End Event' is not supported in Zeebe version '8.6'. Please review." u="1"/>
        <s v="Attribute 'errorCodeVariable' with value 'errorCodeVar' on 'errorEventDefinition' is not supported." u="1"/>
        <s v="Attribute 'errorMessageVariable' with value 'errorMessageVar' on 'errorEventDefinition' is not supported." u="1"/>
        <s v="Element 'Cancel Boundary Event' is not supported in Zeebe version '8.6'. Please review." u="1"/>
        <s v="Condition expression: Please review transformed expression: '${true}' -&gt; '=true'." u="1"/>
        <s v="Script format 'js' was set to header 'language'. Please review." u="1"/>
        <s v="Element 'scriptTask' was transformed. Currently, script tasks are implemented like service tasks with job type 'script'. Please review your implementation." u="1"/>
        <s v="Script was set to header 'script'. Please review." u="1"/>
        <s v="Element 'script' cannot be transformed. Script 'classpath://script.kt' with format 'kt' on 'executionListener'." u="1"/>
        <s v="Listener at 'start' with implementation 'kt' can be transformed to a job worker. Please adjust the job type." u="1"/>
        <s v="Attribute 'resource' on 'scriptTask' was mapped. Is set to header resource." u="1"/>
        <s v="Attribute 'topic' on 'messageEventDefinition' was mapped. Is set as job type." u="1"/>
        <s v="Unused attribute 'type' on 'messageEventDefinition' is removed.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gely Juhasz" refreshedDate="46171.669449421293" createdVersion="8" refreshedVersion="8" minRefreshableVersion="3" recordCount="20" xr:uid="{97410068-660E-CA46-9D2C-9B15328306EC}">
  <cacheSource type="worksheet">
    <worksheetSource ref="A1:I1048576" sheet="AnalysisResults"/>
  </cacheSource>
  <cacheFields count="9">
    <cacheField name="filename" numFmtId="0">
      <sharedItems containsBlank="1"/>
    </cacheField>
    <cacheField name="elementName" numFmtId="0">
      <sharedItems containsBlank="1"/>
    </cacheField>
    <cacheField name="elementId" numFmtId="0">
      <sharedItems containsBlank="1"/>
    </cacheField>
    <cacheField name="elementType" numFmtId="0">
      <sharedItems containsBlank="1"/>
    </cacheField>
    <cacheField name="severity" numFmtId="0">
      <sharedItems containsBlank="1" count="5">
        <s v="TASK"/>
        <s v="INFO"/>
        <s v="WARNING"/>
        <s v="REVIEW"/>
        <m/>
      </sharedItems>
    </cacheField>
    <cacheField name="messageId" numFmtId="0">
      <sharedItems containsBlank="1"/>
    </cacheField>
    <cacheField name="message" numFmtId="0">
      <sharedItems containsBlank="1"/>
    </cacheField>
    <cacheField name="link" numFmtId="0">
      <sharedItems containsNonDate="0" containsString="0" containsBlank="1"/>
    </cacheField>
    <cacheField name="IsFirstMessageIdOccurrenc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Gergely Juhasz" refreshedDate="46171.670060300923" createdVersion="8" refreshedVersion="8" minRefreshableVersion="3" recordCount="20" xr:uid="{F05C7B3A-A4C9-42B0-AE09-95EDBAE9FDA9}">
  <cacheSource type="worksheet">
    <worksheetSource ref="A1:H1048576" sheet="AnalysisResults"/>
  </cacheSource>
  <cacheFields count="8">
    <cacheField name="filename" numFmtId="0">
      <sharedItems containsBlank="1" count="9">
        <s v="all-properties-process.bpmn"/>
        <s v="call-activity-deployment.bpmn"/>
        <s v="call-activity-latest.bpmn"/>
        <s v="called-element-ref-deployment.bpmn"/>
        <s v="called-element-ref-version.bpmn"/>
        <m/>
        <s v="example-c7.bpmn" u="1"/>
        <s v="example-B7.bpmn" u="1"/>
        <s v="example-cC7.bpmn" u="1"/>
      </sharedItems>
    </cacheField>
    <cacheField name="elementName" numFmtId="0">
      <sharedItems containsBlank="1"/>
    </cacheField>
    <cacheField name="elementId" numFmtId="0">
      <sharedItems containsBlank="1"/>
    </cacheField>
    <cacheField name="elementType" numFmtId="0">
      <sharedItems containsBlank="1" count="17">
        <s v="process"/>
        <s v="startEvent"/>
        <s v="serviceTask"/>
        <s v="callActivity"/>
        <m/>
        <s v="error" u="1"/>
        <s v="message" u="1"/>
        <s v="userTask" u="1"/>
        <s v="businessRuleTask" u="1"/>
        <s v="intermediateCatchEvent" u="1"/>
        <s v="complexGateway" u="1"/>
        <s v="transaction" u="1"/>
        <s v="endEvent" u="1"/>
        <s v="boundaryEvent" u="1"/>
        <s v="sequenceFlow" u="1"/>
        <s v="scriptTask" u="1"/>
        <s v="intermediateThrowEvent" u="1"/>
      </sharedItems>
    </cacheField>
    <cacheField name="severity" numFmtId="0">
      <sharedItems containsBlank="1" count="5">
        <s v="TASK"/>
        <s v="INFO"/>
        <s v="WARNING"/>
        <s v="REVIEW"/>
        <m/>
      </sharedItems>
    </cacheField>
    <cacheField name="messageId" numFmtId="0">
      <sharedItems containsBlank="1"/>
    </cacheField>
    <cacheField name="message" numFmtId="0">
      <sharedItems containsBlank="1"/>
    </cacheField>
    <cacheField name="link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ll-properties-process.bpmn"/>
    <s v="All properties process"/>
    <s v="AllPropertiesProcess"/>
    <s v="process"/>
    <x v="0"/>
    <x v="0"/>
    <x v="0"/>
  </r>
  <r>
    <s v="all-properties-process.bpmn"/>
    <s v="All properties process"/>
    <s v="AllPropertiesProcess"/>
    <s v="process"/>
    <x v="0"/>
    <x v="0"/>
    <x v="1"/>
  </r>
  <r>
    <s v="all-properties-process.bpmn"/>
    <s v="All properties process"/>
    <s v="AllPropertiesProcess"/>
    <s v="process"/>
    <x v="1"/>
    <x v="1"/>
    <x v="2"/>
  </r>
  <r>
    <s v="all-properties-process.bpmn"/>
    <s v="All properties wanted"/>
    <s v="StartEvent_1"/>
    <s v="startEvent"/>
    <x v="0"/>
    <x v="0"/>
    <x v="1"/>
  </r>
  <r>
    <s v="all-properties-process.bpmn"/>
    <s v="Service task"/>
    <s v="Activity_00zr8kg"/>
    <s v="serviceTask"/>
    <x v="2"/>
    <x v="2"/>
    <x v="3"/>
  </r>
  <r>
    <s v="all-properties-process.bpmn"/>
    <s v="Service task"/>
    <s v="Activity_00zr8kg"/>
    <s v="serviceTask"/>
    <x v="2"/>
    <x v="2"/>
    <x v="4"/>
  </r>
  <r>
    <s v="all-properties-process.bpmn"/>
    <s v="Service task"/>
    <s v="Activity_00zr8kg"/>
    <s v="serviceTask"/>
    <x v="0"/>
    <x v="0"/>
    <x v="5"/>
  </r>
  <r>
    <s v="all-properties-process.bpmn"/>
    <s v="Service task"/>
    <s v="Activity_00zr8kg"/>
    <s v="serviceTask"/>
    <x v="0"/>
    <x v="0"/>
    <x v="6"/>
  </r>
  <r>
    <s v="all-properties-process.bpmn"/>
    <s v="Service task"/>
    <s v="Activity_00zr8kg"/>
    <s v="serviceTask"/>
    <x v="3"/>
    <x v="3"/>
    <x v="7"/>
  </r>
  <r>
    <s v="all-properties-process.bpmn"/>
    <s v="Service task"/>
    <s v="Activity_00zr8kg"/>
    <s v="serviceTask"/>
    <x v="1"/>
    <x v="1"/>
    <x v="8"/>
  </r>
  <r>
    <s v="call-activity-deployment.bpmn"/>
    <s v="call deployment"/>
    <s v="callDeployment"/>
    <s v="callActivity"/>
    <x v="1"/>
    <x v="4"/>
    <x v="9"/>
  </r>
  <r>
    <s v="call-activity-deployment.bpmn"/>
    <s v="call deployment"/>
    <s v="callDeployment"/>
    <s v="callActivity"/>
    <x v="1"/>
    <x v="5"/>
    <x v="10"/>
  </r>
  <r>
    <s v="call-activity-latest.bpmn"/>
    <s v="call latest"/>
    <s v="callLatest"/>
    <s v="callActivity"/>
    <x v="1"/>
    <x v="4"/>
    <x v="9"/>
  </r>
  <r>
    <s v="call-activity-latest.bpmn"/>
    <s v="call latest"/>
    <s v="callLatest"/>
    <s v="callActivity"/>
    <x v="1"/>
    <x v="5"/>
    <x v="10"/>
  </r>
  <r>
    <s v="called-element-ref-deployment.bpmn"/>
    <m/>
    <s v="callActivity"/>
    <s v="callActivity"/>
    <x v="1"/>
    <x v="6"/>
    <x v="11"/>
  </r>
  <r>
    <s v="called-element-ref-version.bpmn"/>
    <m/>
    <s v="callActivity"/>
    <s v="callActivity"/>
    <x v="1"/>
    <x v="6"/>
    <x v="11"/>
  </r>
  <r>
    <s v="called-element-ref-version.bpmn"/>
    <m/>
    <s v="callActivity"/>
    <s v="callActivity"/>
    <x v="1"/>
    <x v="7"/>
    <x v="12"/>
  </r>
  <r>
    <s v="called-element-ref-version.bpmn"/>
    <m/>
    <s v="callActivity"/>
    <s v="callActivity"/>
    <x v="4"/>
    <x v="7"/>
    <x v="12"/>
  </r>
  <r>
    <s v="called-element-ref-version.bpmn"/>
    <m/>
    <s v="callActivity"/>
    <s v="callActivity"/>
    <x v="1"/>
    <x v="7"/>
    <x v="12"/>
  </r>
  <r>
    <m/>
    <m/>
    <m/>
    <m/>
    <x v="4"/>
    <x v="8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all-properties-process.bpmn"/>
    <s v="All properties process"/>
    <s v="AllPropertiesProcess"/>
    <s v="process"/>
    <x v="0"/>
    <s v="execution-listener-supported"/>
    <s v="Execution Listener at 'start' with implementation 'com.camunda.StartListener' can be transformed to a job worker. Please adjust the job type."/>
    <m/>
    <n v="1"/>
  </r>
  <r>
    <s v="all-properties-process.bpmn"/>
    <s v="All properties process"/>
    <s v="AllPropertiesProcess"/>
    <s v="process"/>
    <x v="0"/>
    <s v="execution-listener-supported"/>
    <s v="Execution Listener at 'end' with implementation 'com.camunda.EndListener' can be transformed to a job worker. Please adjust the job type."/>
    <m/>
    <n v="0"/>
  </r>
  <r>
    <s v="all-properties-process.bpmn"/>
    <s v="All properties process"/>
    <s v="AllPropertiesProcess"/>
    <s v="process"/>
    <x v="1"/>
    <s v="property"/>
    <s v="Element 'property' was transformed. Property 'myProcessProperty' lives in the Zeebe namespace now."/>
    <m/>
    <n v="1"/>
  </r>
  <r>
    <s v="all-properties-process.bpmn"/>
    <s v="All properties wanted"/>
    <s v="StartEvent_1"/>
    <s v="startEvent"/>
    <x v="0"/>
    <s v="execution-listener-supported"/>
    <s v="Execution Listener at 'end' with implementation 'com.camunda.EndListener' can be transformed to a job worker. Please adjust the job type."/>
    <m/>
    <n v="0"/>
  </r>
  <r>
    <s v="all-properties-process.bpmn"/>
    <s v="Service task"/>
    <s v="Activity_00zr8kg"/>
    <s v="serviceTask"/>
    <x v="2"/>
    <s v="field-content"/>
    <s v="Element 'field' cannot be transformed. Field injection is not available in Zeebe. Instead, please use Input mappings."/>
    <m/>
    <n v="1"/>
  </r>
  <r>
    <s v="all-properties-process.bpmn"/>
    <s v="Service task"/>
    <s v="Activity_00zr8kg"/>
    <s v="serviceTask"/>
    <x v="2"/>
    <s v="field-content"/>
    <s v="Element 'expression' cannot be transformed. Field injection is not available in Zeebe. Instead, please use Input mappings."/>
    <m/>
    <n v="0"/>
  </r>
  <r>
    <s v="all-properties-process.bpmn"/>
    <s v="Service task"/>
    <s v="Activity_00zr8kg"/>
    <s v="serviceTask"/>
    <x v="0"/>
    <s v="execution-listener-supported"/>
    <s v="Execution Listener at 'start' with implementation 'com.camunda.StartExecutionListener' can be transformed to a job worker. Please adjust the job type."/>
    <m/>
    <n v="0"/>
  </r>
  <r>
    <s v="all-properties-process.bpmn"/>
    <s v="Service task"/>
    <s v="Activity_00zr8kg"/>
    <s v="serviceTask"/>
    <x v="0"/>
    <s v="execution-listener-supported"/>
    <s v="Execution Listener at 'end' with implementation 'com.camundaEndExecutionListener' can be transformed to a job worker. Please adjust the job type."/>
    <m/>
    <n v="0"/>
  </r>
  <r>
    <s v="all-properties-process.bpmn"/>
    <s v="Service task"/>
    <s v="Activity_00zr8kg"/>
    <s v="serviceTask"/>
    <x v="3"/>
    <s v="delegate-expression-as-job-type"/>
    <s v="Delegate class or expression 'com.camunda.MyJavaDelegate' has been transformed to job type 'myJavaDelegate'."/>
    <m/>
    <n v="1"/>
  </r>
  <r>
    <s v="all-properties-process.bpmn"/>
    <s v="Service task"/>
    <s v="Activity_00zr8kg"/>
    <s v="serviceTask"/>
    <x v="1"/>
    <s v="property"/>
    <s v="Element 'property' was transformed. Property 'someTaskExtension' lives in the Zeebe namespace now."/>
    <m/>
    <n v="0"/>
  </r>
  <r>
    <s v="call-activity-deployment.bpmn"/>
    <s v="call deployment"/>
    <s v="callDeployment"/>
    <s v="callActivity"/>
    <x v="1"/>
    <s v="in-all-hint"/>
    <s v="Element 'camunda:in' with attribute 'variables=&quot;all&quot;' is mapped to 'propagateAllParentVariables=&quot;true&quot;'."/>
    <m/>
    <n v="1"/>
  </r>
  <r>
    <s v="call-activity-deployment.bpmn"/>
    <s v="call deployment"/>
    <s v="callDeployment"/>
    <s v="callActivity"/>
    <x v="1"/>
    <s v="out-all-hint"/>
    <s v="Element 'camunda:out' with attribute 'variables=&quot;all&quot;' is mapped to 'propagateAllChildVariables=&quot;true&quot;'."/>
    <m/>
    <n v="1"/>
  </r>
  <r>
    <s v="call-activity-latest.bpmn"/>
    <s v="call latest"/>
    <s v="callLatest"/>
    <s v="callActivity"/>
    <x v="1"/>
    <s v="in-all-hint"/>
    <s v="Element 'camunda:in' with attribute 'variables=&quot;all&quot;' is mapped to 'propagateAllParentVariables=&quot;true&quot;'."/>
    <m/>
    <n v="0"/>
  </r>
  <r>
    <s v="call-activity-latest.bpmn"/>
    <s v="call latest"/>
    <s v="callLatest"/>
    <s v="callActivity"/>
    <x v="1"/>
    <s v="out-all-hint"/>
    <s v="Element 'camunda:out' with attribute 'variables=&quot;all&quot;' is mapped to 'propagateAllChildVariables=&quot;true&quot;'."/>
    <m/>
    <n v="0"/>
  </r>
  <r>
    <s v="called-element-ref-deployment.bpmn"/>
    <m/>
    <s v="callActivity"/>
    <s v="callActivity"/>
    <x v="1"/>
    <s v="called-element-ref-binding"/>
    <s v="Called element reference binding has been mapped."/>
    <m/>
    <n v="1"/>
  </r>
  <r>
    <s v="called-element-ref-version.bpmn"/>
    <m/>
    <s v="callActivity"/>
    <s v="callActivity"/>
    <x v="1"/>
    <s v="called-element-ref-binding"/>
    <s v="Called element reference binding has been mapped."/>
    <m/>
    <n v="0"/>
  </r>
  <r>
    <s v="called-element-ref-version.bpmn"/>
    <m/>
    <s v="callActivity"/>
    <s v="callActivity"/>
    <x v="1"/>
    <s v="called-element-ref-version-tag"/>
    <s v="Called element reference version tag has been mapped."/>
    <m/>
    <n v="1"/>
  </r>
  <r>
    <s v="called-element-ref-version.bpmn"/>
    <m/>
    <s v="callActivity"/>
    <s v="callActivity"/>
    <x v="4"/>
    <s v="called-element-ref-version-tag"/>
    <s v="Called element reference version tag has been mapped."/>
    <m/>
    <n v="0"/>
  </r>
  <r>
    <s v="called-element-ref-version.bpmn"/>
    <m/>
    <s v="callActivity"/>
    <s v="callActivity"/>
    <x v="1"/>
    <s v="called-element-ref-version-tag"/>
    <s v="Called element reference version tag has been mapped."/>
    <m/>
    <n v="0"/>
  </r>
  <r>
    <m/>
    <m/>
    <m/>
    <m/>
    <x v="4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All properties process"/>
    <s v="AllPropertiesProcess"/>
    <x v="0"/>
    <x v="0"/>
    <s v="execution-listener-supported"/>
    <s v="Execution Listener at 'start' with implementation 'com.camunda.StartListener' can be transformed to a job worker. Please adjust the job type."/>
    <m/>
  </r>
  <r>
    <x v="0"/>
    <s v="All properties process"/>
    <s v="AllPropertiesProcess"/>
    <x v="0"/>
    <x v="0"/>
    <s v="execution-listener-supported"/>
    <s v="Execution Listener at 'end' with implementation 'com.camunda.EndListener' can be transformed to a job worker. Please adjust the job type."/>
    <m/>
  </r>
  <r>
    <x v="0"/>
    <s v="All properties process"/>
    <s v="AllPropertiesProcess"/>
    <x v="0"/>
    <x v="1"/>
    <s v="property"/>
    <s v="Element 'property' was transformed. Property 'myProcessProperty' lives in the Zeebe namespace now."/>
    <m/>
  </r>
  <r>
    <x v="0"/>
    <s v="All properties wanted"/>
    <s v="StartEvent_1"/>
    <x v="1"/>
    <x v="0"/>
    <s v="execution-listener-supported"/>
    <s v="Execution Listener at 'end' with implementation 'com.camunda.EndListener' can be transformed to a job worker. Please adjust the job type."/>
    <m/>
  </r>
  <r>
    <x v="0"/>
    <s v="Service task"/>
    <s v="Activity_00zr8kg"/>
    <x v="2"/>
    <x v="2"/>
    <s v="field-content"/>
    <s v="Element 'field' cannot be transformed. Field injection is not available in Zeebe. Instead, please use Input mappings."/>
    <m/>
  </r>
  <r>
    <x v="0"/>
    <s v="Service task"/>
    <s v="Activity_00zr8kg"/>
    <x v="2"/>
    <x v="2"/>
    <s v="field-content"/>
    <s v="Element 'expression' cannot be transformed. Field injection is not available in Zeebe. Instead, please use Input mappings."/>
    <m/>
  </r>
  <r>
    <x v="0"/>
    <s v="Service task"/>
    <s v="Activity_00zr8kg"/>
    <x v="2"/>
    <x v="0"/>
    <s v="execution-listener-supported"/>
    <s v="Execution Listener at 'start' with implementation 'com.camunda.StartExecutionListener' can be transformed to a job worker. Please adjust the job type."/>
    <m/>
  </r>
  <r>
    <x v="0"/>
    <s v="Service task"/>
    <s v="Activity_00zr8kg"/>
    <x v="2"/>
    <x v="0"/>
    <s v="execution-listener-supported"/>
    <s v="Execution Listener at 'end' with implementation 'com.camundaEndExecutionListener' can be transformed to a job worker. Please adjust the job type."/>
    <m/>
  </r>
  <r>
    <x v="0"/>
    <s v="Service task"/>
    <s v="Activity_00zr8kg"/>
    <x v="2"/>
    <x v="3"/>
    <s v="delegate-expression-as-job-type"/>
    <s v="Delegate class or expression 'com.camunda.MyJavaDelegate' has been transformed to job type 'myJavaDelegate'."/>
    <m/>
  </r>
  <r>
    <x v="0"/>
    <s v="Service task"/>
    <s v="Activity_00zr8kg"/>
    <x v="2"/>
    <x v="1"/>
    <s v="property"/>
    <s v="Element 'property' was transformed. Property 'someTaskExtension' lives in the Zeebe namespace now."/>
    <m/>
  </r>
  <r>
    <x v="1"/>
    <s v="call deployment"/>
    <s v="callDeployment"/>
    <x v="3"/>
    <x v="1"/>
    <s v="in-all-hint"/>
    <s v="Element 'camunda:in' with attribute 'variables=&quot;all&quot;' is mapped to 'propagateAllParentVariables=&quot;true&quot;'."/>
    <m/>
  </r>
  <r>
    <x v="1"/>
    <s v="call deployment"/>
    <s v="callDeployment"/>
    <x v="3"/>
    <x v="1"/>
    <s v="out-all-hint"/>
    <s v="Element 'camunda:out' with attribute 'variables=&quot;all&quot;' is mapped to 'propagateAllChildVariables=&quot;true&quot;'."/>
    <m/>
  </r>
  <r>
    <x v="2"/>
    <s v="call latest"/>
    <s v="callLatest"/>
    <x v="3"/>
    <x v="1"/>
    <s v="in-all-hint"/>
    <s v="Element 'camunda:in' with attribute 'variables=&quot;all&quot;' is mapped to 'propagateAllParentVariables=&quot;true&quot;'."/>
    <m/>
  </r>
  <r>
    <x v="2"/>
    <s v="call latest"/>
    <s v="callLatest"/>
    <x v="3"/>
    <x v="1"/>
    <s v="out-all-hint"/>
    <s v="Element 'camunda:out' with attribute 'variables=&quot;all&quot;' is mapped to 'propagateAllChildVariables=&quot;true&quot;'."/>
    <m/>
  </r>
  <r>
    <x v="3"/>
    <m/>
    <s v="callActivity"/>
    <x v="3"/>
    <x v="1"/>
    <s v="called-element-ref-binding"/>
    <s v="Called element reference binding has been mapped."/>
    <m/>
  </r>
  <r>
    <x v="4"/>
    <m/>
    <s v="callActivity"/>
    <x v="3"/>
    <x v="1"/>
    <s v="called-element-ref-binding"/>
    <s v="Called element reference binding has been mapped."/>
    <m/>
  </r>
  <r>
    <x v="4"/>
    <m/>
    <s v="callActivity"/>
    <x v="3"/>
    <x v="1"/>
    <s v="called-element-ref-version-tag"/>
    <s v="Called element reference version tag has been mapped."/>
    <m/>
  </r>
  <r>
    <x v="4"/>
    <m/>
    <s v="callActivity"/>
    <x v="3"/>
    <x v="4"/>
    <s v="called-element-ref-version-tag"/>
    <s v="Called element reference version tag has been mapped."/>
    <m/>
  </r>
  <r>
    <x v="4"/>
    <m/>
    <s v="callActivity"/>
    <x v="3"/>
    <x v="1"/>
    <s v="called-element-ref-version-tag"/>
    <s v="Called element reference version tag has been mapped."/>
    <m/>
  </r>
  <r>
    <x v="5"/>
    <m/>
    <m/>
    <x v="4"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7AC9D-0722-5B42-BF68-B776BF6D8637}" name="PivotTable2" cacheId="18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4:C29" firstHeaderRow="0" firstDataRow="1" firstDataCol="1"/>
  <pivotFields count="9">
    <pivotField showAll="0"/>
    <pivotField showAll="0"/>
    <pivotField showAll="0"/>
    <pivotField showAll="0"/>
    <pivotField axis="axisRow" showAll="0">
      <items count="6">
        <item h="1"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8" baseField="0" baseItem="0"/>
    <dataField name="%" fld="8" baseField="0" baseItem="0"/>
  </dataFields>
  <formats count="1">
    <format dxfId="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00547-E459-A046-87A8-F2E3FC273F49}" name="PivotTable1" cacheId="20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6:C11" firstHeaderRow="0" firstDataRow="1" firstDataCol="1"/>
  <pivotFields count="8">
    <pivotField showAll="0"/>
    <pivotField showAll="0"/>
    <pivotField showAll="0"/>
    <pivotField showAll="0"/>
    <pivotField axis="axisRow" dataField="1" showAll="0">
      <items count="6">
        <item x="3"/>
        <item x="1"/>
        <item x="0"/>
        <item x="2"/>
        <item h="1" x="4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4" subtotal="count" baseField="0" baseItem="0"/>
    <dataField name="%" fld="4" subtotal="count" showDataAs="percentOfTotal" baseField="0" baseItem="0" numFmtId="10"/>
  </dataFields>
  <formats count="1"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28143-6D49-480A-B12C-B619830A85C5}" name="PivotTable10" cacheId="20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>
  <location ref="A50:B56" firstHeaderRow="1" firstDataRow="1" firstDataCol="1"/>
  <pivotFields count="8">
    <pivotField showAll="0"/>
    <pivotField showAll="0"/>
    <pivotField showAll="0"/>
    <pivotField axis="axisRow" dataField="1" showAll="0">
      <items count="18">
        <item m="1" x="13"/>
        <item m="1" x="8"/>
        <item x="3"/>
        <item m="1" x="10"/>
        <item m="1" x="12"/>
        <item m="1" x="5"/>
        <item m="1" x="9"/>
        <item m="1" x="16"/>
        <item m="1" x="6"/>
        <item x="0"/>
        <item m="1" x="15"/>
        <item m="1" x="14"/>
        <item x="2"/>
        <item x="1"/>
        <item m="1" x="11"/>
        <item m="1" x="7"/>
        <item x="4"/>
        <item t="default"/>
      </items>
    </pivotField>
    <pivotField showAll="0"/>
    <pivotField showAll="0"/>
    <pivotField showAll="0"/>
    <pivotField showAll="0"/>
  </pivotFields>
  <rowFields count="1">
    <field x="3"/>
  </rowFields>
  <rowItems count="6">
    <i>
      <x v="2"/>
    </i>
    <i>
      <x v="9"/>
    </i>
    <i>
      <x v="12"/>
    </i>
    <i>
      <x v="13"/>
    </i>
    <i>
      <x v="16"/>
    </i>
    <i t="grand">
      <x/>
    </i>
  </rowItems>
  <colItems count="1">
    <i/>
  </colItems>
  <dataFields count="1">
    <dataField name="Count" fld="3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102BA-1510-4FCD-9681-DC126928FDCB}" name="PivotTable9" cacheId="20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">
  <location ref="A74:B81" firstHeaderRow="1" firstDataRow="1" firstDataCol="1"/>
  <pivotFields count="8">
    <pivotField axis="axisRow" dataField="1" showAll="0">
      <items count="10">
        <item m="1" x="7"/>
        <item m="1" x="6"/>
        <item m="1" x="8"/>
        <item x="5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DE8E6-9D5D-45AF-9CED-CBDA929CD5C5}" name="PivotTable7" cacheId="16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4:B35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axis="axisRow" dataField="1" showAll="0">
      <items count="45">
        <item m="1" x="9"/>
        <item m="1" x="17"/>
        <item m="1" x="12"/>
        <item m="1" x="18"/>
        <item m="1" x="16"/>
        <item m="1" x="10"/>
        <item m="1" x="20"/>
        <item m="1" x="15"/>
        <item m="1" x="13"/>
        <item m="1" x="14"/>
        <item x="1"/>
        <item m="1" x="19"/>
        <item m="1" x="11"/>
        <item x="8"/>
        <item x="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6"/>
        <item x="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2"/>
        <item x="3"/>
        <item x="5"/>
        <item x="7"/>
        <item t="default"/>
      </items>
    </pivotField>
    <pivotField axis="axisRow" showAll="0">
      <items count="81">
        <item sd="0" m="1" x="14"/>
        <item sd="0" m="1" x="18"/>
        <item sd="0" m="1" x="17"/>
        <item sd="0" m="1" x="31"/>
        <item sd="0" m="1" x="26"/>
        <item sd="0" m="1" x="34"/>
        <item sd="0" m="1" x="21"/>
        <item sd="0" m="1" x="22"/>
        <item sd="0" m="1" x="27"/>
        <item sd="0" m="1" x="25"/>
        <item sd="0" m="1" x="28"/>
        <item sd="0" m="1" x="24"/>
        <item sd="0" m="1" x="19"/>
        <item sd="0" m="1" x="23"/>
        <item sd="0" m="1" x="32"/>
        <item sd="0" m="1" x="20"/>
        <item sd="0" m="1" x="33"/>
        <item sd="0" m="1" x="15"/>
        <item m="1" x="29"/>
        <item sd="0" m="1" x="30"/>
        <item sd="0" m="1" x="16"/>
        <item sd="0" x="13"/>
        <item sd="0" m="1" x="35"/>
        <item sd="0" m="1" x="36"/>
        <item sd="0" m="1" x="37"/>
        <item sd="0" m="1" x="38"/>
        <item sd="0" m="1" x="39"/>
        <item sd="0" m="1" x="40"/>
        <item sd="0" m="1" x="41"/>
        <item sd="0" m="1" x="42"/>
        <item sd="0" m="1" x="43"/>
        <item sd="0" m="1" x="44"/>
        <item sd="0" m="1" x="45"/>
        <item sd="0" m="1" x="46"/>
        <item sd="0" m="1" x="47"/>
        <item sd="0" m="1" x="48"/>
        <item sd="0" m="1" x="49"/>
        <item sd="0" m="1" x="50"/>
        <item sd="0" m="1" x="51"/>
        <item sd="0" m="1" x="52"/>
        <item sd="0" m="1" x="53"/>
        <item sd="0" m="1" x="54"/>
        <item sd="0" x="11"/>
        <item sd="0" x="9"/>
        <item sd="0" m="1" x="55"/>
        <item sd="0" m="1" x="56"/>
        <item sd="0" m="1" x="57"/>
        <item sd="0" m="1" x="58"/>
        <item sd="0" m="1" x="59"/>
        <item sd="0" m="1" x="60"/>
        <item sd="0" m="1" x="61"/>
        <item sd="0" m="1" x="62"/>
        <item sd="0" m="1" x="63"/>
        <item sd="0" m="1" x="64"/>
        <item sd="0" m="1" x="65"/>
        <item sd="0" m="1" x="66"/>
        <item sd="0" m="1" x="67"/>
        <item sd="0" m="1" x="68"/>
        <item sd="0" m="1" x="69"/>
        <item sd="0" m="1" x="70"/>
        <item sd="0" m="1" x="71"/>
        <item sd="0" m="1" x="72"/>
        <item sd="0" m="1" x="73"/>
        <item sd="0" m="1" x="74"/>
        <item sd="0" m="1" x="75"/>
        <item sd="0" m="1" x="76"/>
        <item sd="0" m="1" x="77"/>
        <item sd="0" m="1" x="78"/>
        <item sd="0" m="1" x="79"/>
        <item x="0"/>
        <item x="1"/>
        <item x="2"/>
        <item x="3"/>
        <item x="4"/>
        <item x="5"/>
        <item x="6"/>
        <item x="7"/>
        <item x="8"/>
        <item x="10"/>
        <item x="12"/>
        <item t="default" sd="0"/>
      </items>
    </pivotField>
  </pivotFields>
  <rowFields count="3">
    <field x="4"/>
    <field x="5"/>
    <field x="6"/>
  </rowFields>
  <rowItems count="31">
    <i>
      <x/>
    </i>
    <i r="1">
      <x v="10"/>
    </i>
    <i r="2">
      <x v="71"/>
    </i>
    <i r="2">
      <x v="77"/>
    </i>
    <i r="1">
      <x v="29"/>
    </i>
    <i r="2">
      <x v="42"/>
    </i>
    <i r="1">
      <x v="30"/>
    </i>
    <i r="2">
      <x v="43"/>
    </i>
    <i r="1">
      <x v="42"/>
    </i>
    <i r="2">
      <x v="78"/>
    </i>
    <i r="1">
      <x v="43"/>
    </i>
    <i r="2">
      <x v="79"/>
    </i>
    <i>
      <x v="1"/>
    </i>
    <i r="1">
      <x v="41"/>
    </i>
    <i r="2">
      <x v="76"/>
    </i>
    <i>
      <x v="2"/>
    </i>
    <i r="1">
      <x v="14"/>
    </i>
    <i r="2">
      <x v="69"/>
    </i>
    <i r="2">
      <x v="70"/>
    </i>
    <i r="2">
      <x v="74"/>
    </i>
    <i r="2">
      <x v="75"/>
    </i>
    <i>
      <x v="3"/>
    </i>
    <i r="1">
      <x v="40"/>
    </i>
    <i r="2">
      <x v="72"/>
    </i>
    <i r="2">
      <x v="73"/>
    </i>
    <i>
      <x v="4"/>
    </i>
    <i r="1">
      <x v="13"/>
    </i>
    <i r="2">
      <x v="21"/>
    </i>
    <i r="1">
      <x v="43"/>
    </i>
    <i r="2">
      <x v="79"/>
    </i>
    <i t="grand">
      <x/>
    </i>
  </rowItems>
  <colItems count="1">
    <i/>
  </colItems>
  <dataFields count="1">
    <dataField name="Count" fld="5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025494-F001-814C-B64A-C534FD56F183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de3f5050-d1f5-4361-b2f6-e50bc501ddb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AA76-5881-4413-9A99-9963DBBA6847}">
  <dimension ref="A1:F91"/>
  <sheetViews>
    <sheetView tabSelected="1" workbookViewId="0">
      <selection activeCell="M16" sqref="M16"/>
    </sheetView>
  </sheetViews>
  <sheetFormatPr baseColWidth="10" defaultColWidth="8.83203125" defaultRowHeight="14" x14ac:dyDescent="0.15"/>
  <cols>
    <col min="1" max="1" width="20.33203125" bestFit="1" customWidth="1"/>
    <col min="2" max="2" width="5.83203125" style="1" bestFit="1" customWidth="1"/>
    <col min="3" max="3" width="7.6640625" style="1" bestFit="1" customWidth="1"/>
    <col min="4" max="4" width="7.6640625" bestFit="1" customWidth="1"/>
  </cols>
  <sheetData>
    <row r="1" spans="1:6" s="9" customFormat="1" ht="25" x14ac:dyDescent="0.25">
      <c r="A1" s="9" t="s">
        <v>31</v>
      </c>
      <c r="B1" s="10"/>
      <c r="C1" s="10"/>
    </row>
    <row r="2" spans="1:6" s="11" customFormat="1" x14ac:dyDescent="0.15">
      <c r="B2" s="12"/>
      <c r="C2" s="12"/>
    </row>
    <row r="3" spans="1:6" s="8" customFormat="1" ht="18" x14ac:dyDescent="0.2">
      <c r="A3" s="6" t="s">
        <v>21</v>
      </c>
      <c r="B3" s="7"/>
      <c r="C3" s="7"/>
    </row>
    <row r="4" spans="1:6" x14ac:dyDescent="0.15">
      <c r="A4" t="s">
        <v>22</v>
      </c>
    </row>
    <row r="6" spans="1:6" x14ac:dyDescent="0.15">
      <c r="A6" s="2" t="s">
        <v>17</v>
      </c>
      <c r="B6" t="s">
        <v>0</v>
      </c>
      <c r="C6" s="1" t="s">
        <v>19</v>
      </c>
    </row>
    <row r="7" spans="1:6" ht="17" x14ac:dyDescent="0.2">
      <c r="A7" s="3" t="s">
        <v>35</v>
      </c>
      <c r="B7" s="18">
        <v>1</v>
      </c>
      <c r="C7" s="17">
        <v>5.5555555555555552E-2</v>
      </c>
      <c r="E7" s="16" t="s">
        <v>12</v>
      </c>
      <c r="F7" s="16">
        <f>IFERROR(GETPIVOTDATA("Count",$A$7,"severity",E7),0)</f>
        <v>10</v>
      </c>
    </row>
    <row r="8" spans="1:6" ht="17" x14ac:dyDescent="0.2">
      <c r="A8" s="3" t="s">
        <v>12</v>
      </c>
      <c r="B8" s="18">
        <v>10</v>
      </c>
      <c r="C8" s="17">
        <v>0.55555555555555558</v>
      </c>
      <c r="E8" s="16" t="s">
        <v>1</v>
      </c>
      <c r="F8" s="16">
        <f t="shared" ref="F8:F11" si="0">IFERROR(GETPIVOTDATA("Count",$A$7,"severity",E8),0)</f>
        <v>5</v>
      </c>
    </row>
    <row r="9" spans="1:6" ht="17" x14ac:dyDescent="0.2">
      <c r="A9" s="3" t="s">
        <v>1</v>
      </c>
      <c r="B9" s="18">
        <v>5</v>
      </c>
      <c r="C9" s="17">
        <v>0.27777777777777779</v>
      </c>
      <c r="E9" s="16" t="s">
        <v>10</v>
      </c>
      <c r="F9" s="16">
        <f t="shared" si="0"/>
        <v>2</v>
      </c>
    </row>
    <row r="10" spans="1:6" ht="17" x14ac:dyDescent="0.2">
      <c r="A10" s="3" t="s">
        <v>10</v>
      </c>
      <c r="B10" s="18">
        <v>2</v>
      </c>
      <c r="C10" s="17">
        <v>0.1111111111111111</v>
      </c>
      <c r="E10" s="16" t="s">
        <v>35</v>
      </c>
      <c r="F10" s="16">
        <f t="shared" si="0"/>
        <v>1</v>
      </c>
    </row>
    <row r="11" spans="1:6" ht="17" x14ac:dyDescent="0.2">
      <c r="A11" s="3" t="s">
        <v>16</v>
      </c>
      <c r="B11" s="18">
        <v>18</v>
      </c>
      <c r="C11" s="17">
        <v>1</v>
      </c>
      <c r="E11" s="16"/>
      <c r="F11" s="16"/>
    </row>
    <row r="12" spans="1:6" x14ac:dyDescent="0.15">
      <c r="B12"/>
      <c r="C12"/>
    </row>
    <row r="21" spans="1:6" s="8" customFormat="1" ht="18" x14ac:dyDescent="0.2">
      <c r="A21" s="6" t="s">
        <v>20</v>
      </c>
      <c r="B21" s="7"/>
      <c r="C21" s="7"/>
    </row>
    <row r="22" spans="1:6" x14ac:dyDescent="0.15">
      <c r="A22" t="s">
        <v>23</v>
      </c>
    </row>
    <row r="24" spans="1:6" x14ac:dyDescent="0.15">
      <c r="A24" s="2" t="s">
        <v>17</v>
      </c>
      <c r="B24" t="s">
        <v>0</v>
      </c>
      <c r="C24" s="1" t="s">
        <v>19</v>
      </c>
    </row>
    <row r="25" spans="1:6" ht="17" x14ac:dyDescent="0.2">
      <c r="A25" s="3" t="s">
        <v>1</v>
      </c>
      <c r="B25" s="18">
        <v>1</v>
      </c>
      <c r="C25" s="18">
        <v>1</v>
      </c>
      <c r="E25" s="16" t="s">
        <v>12</v>
      </c>
      <c r="F25" s="16">
        <f>IFERROR(GETPIVOTDATA("Count",$A$24,"severity",E25),0)</f>
        <v>5</v>
      </c>
    </row>
    <row r="26" spans="1:6" ht="17" x14ac:dyDescent="0.2">
      <c r="A26" s="3" t="s">
        <v>12</v>
      </c>
      <c r="B26" s="18">
        <v>5</v>
      </c>
      <c r="C26" s="18">
        <v>5</v>
      </c>
      <c r="E26" s="16" t="s">
        <v>1</v>
      </c>
      <c r="F26" s="16">
        <f>IFERROR(GETPIVOTDATA("Count",$A$24,"severity",E26),0)</f>
        <v>1</v>
      </c>
    </row>
    <row r="27" spans="1:6" ht="17" x14ac:dyDescent="0.2">
      <c r="A27" s="3" t="s">
        <v>10</v>
      </c>
      <c r="B27" s="18">
        <v>1</v>
      </c>
      <c r="C27" s="18">
        <v>1</v>
      </c>
      <c r="E27" s="16" t="s">
        <v>10</v>
      </c>
      <c r="F27" s="16">
        <f>IFERROR(GETPIVOTDATA("Count",$A$24,"severity",E27),0)</f>
        <v>1</v>
      </c>
    </row>
    <row r="28" spans="1:6" ht="17" x14ac:dyDescent="0.2">
      <c r="A28" s="3" t="s">
        <v>35</v>
      </c>
      <c r="B28" s="18">
        <v>1</v>
      </c>
      <c r="C28" s="18">
        <v>1</v>
      </c>
      <c r="E28" s="16" t="s">
        <v>35</v>
      </c>
      <c r="F28" s="16">
        <f>IFERROR(GETPIVOTDATA("Count",$A$24,"severity",E28),0)</f>
        <v>1</v>
      </c>
    </row>
    <row r="29" spans="1:6" x14ac:dyDescent="0.15">
      <c r="A29" s="3" t="s">
        <v>16</v>
      </c>
      <c r="B29" s="18">
        <v>8</v>
      </c>
      <c r="C29" s="18">
        <v>8</v>
      </c>
    </row>
    <row r="30" spans="1:6" x14ac:dyDescent="0.15">
      <c r="B30"/>
      <c r="C30"/>
    </row>
    <row r="40" spans="1:3" s="8" customFormat="1" ht="18" x14ac:dyDescent="0.2">
      <c r="A40" s="6" t="s">
        <v>24</v>
      </c>
      <c r="B40" s="7"/>
      <c r="C40" s="7"/>
    </row>
    <row r="41" spans="1:3" s="11" customFormat="1" x14ac:dyDescent="0.15">
      <c r="A41" s="11" t="s">
        <v>27</v>
      </c>
      <c r="B41" s="12"/>
      <c r="C41" s="12"/>
    </row>
    <row r="42" spans="1:3" s="11" customFormat="1" ht="16" x14ac:dyDescent="0.2">
      <c r="A42" s="13" t="s">
        <v>34</v>
      </c>
      <c r="B42" s="12"/>
      <c r="C42" s="12"/>
    </row>
    <row r="43" spans="1:3" s="11" customFormat="1" ht="16" x14ac:dyDescent="0.2">
      <c r="A43" s="13" t="s">
        <v>32</v>
      </c>
      <c r="B43" s="12"/>
      <c r="C43" s="12"/>
    </row>
    <row r="44" spans="1:3" s="11" customFormat="1" ht="16" x14ac:dyDescent="0.2">
      <c r="A44" s="13"/>
      <c r="B44" s="12"/>
      <c r="C44" s="12"/>
    </row>
    <row r="45" spans="1:3" s="11" customFormat="1" x14ac:dyDescent="0.15">
      <c r="A45" s="11" t="s">
        <v>33</v>
      </c>
      <c r="B45" s="12"/>
      <c r="C45" s="12"/>
    </row>
    <row r="46" spans="1:3" s="11" customFormat="1" x14ac:dyDescent="0.15">
      <c r="B46" s="12"/>
      <c r="C46" s="12"/>
    </row>
    <row r="47" spans="1:3" s="8" customFormat="1" ht="18" x14ac:dyDescent="0.2">
      <c r="A47" s="6" t="s">
        <v>26</v>
      </c>
      <c r="B47" s="7"/>
      <c r="C47" s="7"/>
    </row>
    <row r="48" spans="1:3" x14ac:dyDescent="0.15">
      <c r="A48" t="s">
        <v>28</v>
      </c>
    </row>
    <row r="50" spans="1:3" x14ac:dyDescent="0.15">
      <c r="A50" s="2" t="s">
        <v>17</v>
      </c>
      <c r="B50" t="s">
        <v>0</v>
      </c>
      <c r="C50"/>
    </row>
    <row r="51" spans="1:3" x14ac:dyDescent="0.15">
      <c r="A51" s="3" t="s">
        <v>58</v>
      </c>
      <c r="B51" s="18">
        <v>9</v>
      </c>
      <c r="C51"/>
    </row>
    <row r="52" spans="1:3" x14ac:dyDescent="0.15">
      <c r="A52" s="3" t="s">
        <v>11</v>
      </c>
      <c r="B52" s="18">
        <v>3</v>
      </c>
      <c r="C52"/>
    </row>
    <row r="53" spans="1:3" x14ac:dyDescent="0.15">
      <c r="A53" s="3" t="s">
        <v>15</v>
      </c>
      <c r="B53" s="18">
        <v>6</v>
      </c>
      <c r="C53"/>
    </row>
    <row r="54" spans="1:3" x14ac:dyDescent="0.15">
      <c r="A54" s="3" t="s">
        <v>13</v>
      </c>
      <c r="B54" s="18">
        <v>1</v>
      </c>
      <c r="C54"/>
    </row>
    <row r="55" spans="1:3" x14ac:dyDescent="0.15">
      <c r="A55" s="3" t="s">
        <v>18</v>
      </c>
      <c r="B55" s="18"/>
      <c r="C55"/>
    </row>
    <row r="56" spans="1:3" x14ac:dyDescent="0.15">
      <c r="A56" s="3" t="s">
        <v>16</v>
      </c>
      <c r="B56" s="18">
        <v>19</v>
      </c>
      <c r="C56"/>
    </row>
    <row r="57" spans="1:3" x14ac:dyDescent="0.15">
      <c r="B57"/>
      <c r="C57"/>
    </row>
    <row r="58" spans="1:3" x14ac:dyDescent="0.15">
      <c r="B58"/>
      <c r="C58"/>
    </row>
    <row r="59" spans="1:3" x14ac:dyDescent="0.15">
      <c r="B59"/>
      <c r="C59"/>
    </row>
    <row r="60" spans="1:3" x14ac:dyDescent="0.15">
      <c r="B60"/>
      <c r="C60"/>
    </row>
    <row r="61" spans="1:3" x14ac:dyDescent="0.15">
      <c r="B61"/>
      <c r="C61"/>
    </row>
    <row r="62" spans="1:3" x14ac:dyDescent="0.15">
      <c r="B62"/>
      <c r="C62"/>
    </row>
    <row r="63" spans="1:3" x14ac:dyDescent="0.15">
      <c r="B63"/>
      <c r="C63"/>
    </row>
    <row r="64" spans="1:3" x14ac:dyDescent="0.15">
      <c r="B64"/>
      <c r="C64"/>
    </row>
    <row r="65" spans="1:3" x14ac:dyDescent="0.15">
      <c r="B65"/>
      <c r="C65"/>
    </row>
    <row r="66" spans="1:3" x14ac:dyDescent="0.15">
      <c r="B66"/>
      <c r="C66"/>
    </row>
    <row r="67" spans="1:3" x14ac:dyDescent="0.15">
      <c r="B67"/>
      <c r="C67"/>
    </row>
    <row r="68" spans="1:3" x14ac:dyDescent="0.15">
      <c r="B68"/>
    </row>
    <row r="69" spans="1:3" x14ac:dyDescent="0.15">
      <c r="A69" s="3"/>
      <c r="B69"/>
    </row>
    <row r="70" spans="1:3" x14ac:dyDescent="0.15">
      <c r="A70" s="3"/>
      <c r="B70"/>
    </row>
    <row r="71" spans="1:3" s="8" customFormat="1" ht="18" x14ac:dyDescent="0.2">
      <c r="A71" s="6" t="s">
        <v>29</v>
      </c>
      <c r="B71" s="7"/>
      <c r="C71" s="7"/>
    </row>
    <row r="72" spans="1:3" x14ac:dyDescent="0.15">
      <c r="A72" t="s">
        <v>30</v>
      </c>
    </row>
    <row r="74" spans="1:3" x14ac:dyDescent="0.15">
      <c r="A74" s="2" t="s">
        <v>17</v>
      </c>
      <c r="B74" t="s">
        <v>0</v>
      </c>
      <c r="C74"/>
    </row>
    <row r="75" spans="1:3" x14ac:dyDescent="0.15">
      <c r="A75" s="3" t="s">
        <v>18</v>
      </c>
      <c r="B75" s="18"/>
      <c r="C75"/>
    </row>
    <row r="76" spans="1:3" x14ac:dyDescent="0.15">
      <c r="A76" s="3" t="s">
        <v>36</v>
      </c>
      <c r="B76" s="18">
        <v>10</v>
      </c>
      <c r="C76"/>
    </row>
    <row r="77" spans="1:3" x14ac:dyDescent="0.15">
      <c r="A77" s="3" t="s">
        <v>55</v>
      </c>
      <c r="B77" s="18">
        <v>2</v>
      </c>
      <c r="C77"/>
    </row>
    <row r="78" spans="1:3" x14ac:dyDescent="0.15">
      <c r="A78" s="3" t="s">
        <v>63</v>
      </c>
      <c r="B78" s="18">
        <v>2</v>
      </c>
      <c r="C78"/>
    </row>
    <row r="79" spans="1:3" x14ac:dyDescent="0.15">
      <c r="A79" s="3" t="s">
        <v>66</v>
      </c>
      <c r="B79" s="18">
        <v>1</v>
      </c>
      <c r="C79"/>
    </row>
    <row r="80" spans="1:3" x14ac:dyDescent="0.15">
      <c r="A80" s="3" t="s">
        <v>69</v>
      </c>
      <c r="B80" s="18">
        <v>4</v>
      </c>
      <c r="C80"/>
    </row>
    <row r="81" spans="1:3" x14ac:dyDescent="0.15">
      <c r="A81" s="3" t="s">
        <v>16</v>
      </c>
      <c r="B81" s="18">
        <v>19</v>
      </c>
      <c r="C81"/>
    </row>
    <row r="82" spans="1:3" x14ac:dyDescent="0.15">
      <c r="B82"/>
      <c r="C82"/>
    </row>
    <row r="83" spans="1:3" x14ac:dyDescent="0.15">
      <c r="B83"/>
      <c r="C83"/>
    </row>
    <row r="84" spans="1:3" x14ac:dyDescent="0.15">
      <c r="B84"/>
      <c r="C84"/>
    </row>
    <row r="85" spans="1:3" x14ac:dyDescent="0.15">
      <c r="B85"/>
      <c r="C85"/>
    </row>
    <row r="86" spans="1:3" x14ac:dyDescent="0.15">
      <c r="B86"/>
      <c r="C86"/>
    </row>
    <row r="87" spans="1:3" x14ac:dyDescent="0.15">
      <c r="B87"/>
      <c r="C87"/>
    </row>
    <row r="88" spans="1:3" x14ac:dyDescent="0.15">
      <c r="B88"/>
      <c r="C88"/>
    </row>
    <row r="89" spans="1:3" x14ac:dyDescent="0.15">
      <c r="B89"/>
      <c r="C89"/>
    </row>
    <row r="90" spans="1:3" x14ac:dyDescent="0.15">
      <c r="B90"/>
      <c r="C90"/>
    </row>
    <row r="91" spans="1:3" x14ac:dyDescent="0.15">
      <c r="B91"/>
      <c r="C91"/>
    </row>
  </sheetData>
  <hyperlinks>
    <hyperlink ref="A42" location="PivotTable!A1" display="To understand more details about migration, you can check the PivotTable" xr:uid="{685899AB-46E8-4085-9E38-5467380AC5AB}"/>
    <hyperlink ref="A43" location="AnalysisResults!A1" display="--&gt; Check the raw data table" xr:uid="{42F7CE3C-A5AA-44DE-BFCF-C46C27CE6BB0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E0C9-3DAA-4180-8EFA-9BE56C985089}">
  <dimension ref="A1:C35"/>
  <sheetViews>
    <sheetView workbookViewId="0">
      <selection activeCell="A27" sqref="A27"/>
    </sheetView>
  </sheetViews>
  <sheetFormatPr baseColWidth="10" defaultColWidth="8.83203125" defaultRowHeight="14" x14ac:dyDescent="0.15"/>
  <cols>
    <col min="1" max="1" width="216.5" bestFit="1" customWidth="1"/>
    <col min="2" max="2" width="5.83203125" bestFit="1" customWidth="1"/>
  </cols>
  <sheetData>
    <row r="1" spans="1:3" s="8" customFormat="1" ht="18" x14ac:dyDescent="0.2">
      <c r="A1" s="6" t="s">
        <v>24</v>
      </c>
      <c r="B1" s="7"/>
      <c r="C1" s="7"/>
    </row>
    <row r="2" spans="1:3" x14ac:dyDescent="0.15">
      <c r="A2" t="s">
        <v>25</v>
      </c>
      <c r="B2" s="1"/>
      <c r="C2" s="1"/>
    </row>
    <row r="4" spans="1:3" x14ac:dyDescent="0.15">
      <c r="A4" s="2" t="s">
        <v>17</v>
      </c>
      <c r="B4" t="s">
        <v>0</v>
      </c>
    </row>
    <row r="5" spans="1:3" x14ac:dyDescent="0.15">
      <c r="A5" s="3" t="s">
        <v>12</v>
      </c>
      <c r="B5" s="18">
        <v>10</v>
      </c>
    </row>
    <row r="6" spans="1:3" x14ac:dyDescent="0.15">
      <c r="A6" s="4" t="s">
        <v>14</v>
      </c>
      <c r="B6" s="18">
        <v>2</v>
      </c>
    </row>
    <row r="7" spans="1:3" x14ac:dyDescent="0.15">
      <c r="A7" s="5" t="s">
        <v>42</v>
      </c>
      <c r="B7" s="18">
        <v>1</v>
      </c>
    </row>
    <row r="8" spans="1:3" x14ac:dyDescent="0.15">
      <c r="A8" s="5" t="s">
        <v>54</v>
      </c>
      <c r="B8" s="18">
        <v>1</v>
      </c>
    </row>
    <row r="9" spans="1:3" x14ac:dyDescent="0.15">
      <c r="A9" s="4" t="s">
        <v>67</v>
      </c>
      <c r="B9" s="18">
        <v>2</v>
      </c>
    </row>
    <row r="10" spans="1:3" x14ac:dyDescent="0.15">
      <c r="A10" s="5" t="s">
        <v>68</v>
      </c>
      <c r="B10" s="18">
        <v>2</v>
      </c>
    </row>
    <row r="11" spans="1:3" x14ac:dyDescent="0.15">
      <c r="A11" s="4" t="s">
        <v>59</v>
      </c>
      <c r="B11" s="18">
        <v>2</v>
      </c>
    </row>
    <row r="12" spans="1:3" x14ac:dyDescent="0.15">
      <c r="A12" s="5" t="s">
        <v>60</v>
      </c>
      <c r="B12" s="18">
        <v>2</v>
      </c>
    </row>
    <row r="13" spans="1:3" x14ac:dyDescent="0.15">
      <c r="A13" s="4" t="s">
        <v>61</v>
      </c>
      <c r="B13" s="18">
        <v>2</v>
      </c>
    </row>
    <row r="14" spans="1:3" x14ac:dyDescent="0.15">
      <c r="A14" s="5" t="s">
        <v>62</v>
      </c>
      <c r="B14" s="18">
        <v>2</v>
      </c>
    </row>
    <row r="15" spans="1:3" x14ac:dyDescent="0.15">
      <c r="A15" s="4" t="s">
        <v>70</v>
      </c>
      <c r="B15" s="18">
        <v>2</v>
      </c>
    </row>
    <row r="16" spans="1:3" x14ac:dyDescent="0.15">
      <c r="A16" s="5" t="s">
        <v>71</v>
      </c>
      <c r="B16" s="18">
        <v>2</v>
      </c>
    </row>
    <row r="17" spans="1:2" x14ac:dyDescent="0.15">
      <c r="A17" s="3" t="s">
        <v>35</v>
      </c>
      <c r="B17" s="18">
        <v>1</v>
      </c>
    </row>
    <row r="18" spans="1:2" x14ac:dyDescent="0.15">
      <c r="A18" s="4" t="s">
        <v>52</v>
      </c>
      <c r="B18" s="18">
        <v>1</v>
      </c>
    </row>
    <row r="19" spans="1:2" x14ac:dyDescent="0.15">
      <c r="A19" s="5" t="s">
        <v>53</v>
      </c>
      <c r="B19" s="18">
        <v>1</v>
      </c>
    </row>
    <row r="20" spans="1:2" x14ac:dyDescent="0.15">
      <c r="A20" s="3" t="s">
        <v>1</v>
      </c>
      <c r="B20" s="18">
        <v>5</v>
      </c>
    </row>
    <row r="21" spans="1:2" x14ac:dyDescent="0.15">
      <c r="A21" s="4" t="s">
        <v>39</v>
      </c>
      <c r="B21" s="18">
        <v>5</v>
      </c>
    </row>
    <row r="22" spans="1:2" x14ac:dyDescent="0.15">
      <c r="A22" s="5" t="s">
        <v>40</v>
      </c>
      <c r="B22" s="18">
        <v>1</v>
      </c>
    </row>
    <row r="23" spans="1:2" x14ac:dyDescent="0.15">
      <c r="A23" s="5" t="s">
        <v>41</v>
      </c>
      <c r="B23" s="18">
        <v>2</v>
      </c>
    </row>
    <row r="24" spans="1:2" x14ac:dyDescent="0.15">
      <c r="A24" s="5" t="s">
        <v>50</v>
      </c>
      <c r="B24" s="18">
        <v>1</v>
      </c>
    </row>
    <row r="25" spans="1:2" x14ac:dyDescent="0.15">
      <c r="A25" s="5" t="s">
        <v>51</v>
      </c>
      <c r="B25" s="18">
        <v>1</v>
      </c>
    </row>
    <row r="26" spans="1:2" x14ac:dyDescent="0.15">
      <c r="A26" s="3" t="s">
        <v>10</v>
      </c>
      <c r="B26" s="18">
        <v>2</v>
      </c>
    </row>
    <row r="27" spans="1:2" x14ac:dyDescent="0.15">
      <c r="A27" s="4" t="s">
        <v>47</v>
      </c>
      <c r="B27" s="18">
        <v>2</v>
      </c>
    </row>
    <row r="28" spans="1:2" x14ac:dyDescent="0.15">
      <c r="A28" s="5" t="s">
        <v>48</v>
      </c>
      <c r="B28" s="18">
        <v>1</v>
      </c>
    </row>
    <row r="29" spans="1:2" x14ac:dyDescent="0.15">
      <c r="A29" s="5" t="s">
        <v>49</v>
      </c>
      <c r="B29" s="18">
        <v>1</v>
      </c>
    </row>
    <row r="30" spans="1:2" x14ac:dyDescent="0.15">
      <c r="A30" s="3" t="s">
        <v>18</v>
      </c>
      <c r="B30" s="18">
        <v>1</v>
      </c>
    </row>
    <row r="31" spans="1:2" x14ac:dyDescent="0.15">
      <c r="A31" s="4" t="s">
        <v>18</v>
      </c>
      <c r="B31" s="18"/>
    </row>
    <row r="32" spans="1:2" x14ac:dyDescent="0.15">
      <c r="A32" s="5" t="s">
        <v>18</v>
      </c>
      <c r="B32" s="18"/>
    </row>
    <row r="33" spans="1:2" x14ac:dyDescent="0.15">
      <c r="A33" s="4" t="s">
        <v>70</v>
      </c>
      <c r="B33" s="18">
        <v>1</v>
      </c>
    </row>
    <row r="34" spans="1:2" x14ac:dyDescent="0.15">
      <c r="A34" s="5" t="s">
        <v>71</v>
      </c>
      <c r="B34" s="18">
        <v>1</v>
      </c>
    </row>
    <row r="35" spans="1:2" x14ac:dyDescent="0.15">
      <c r="A35" s="3" t="s">
        <v>16</v>
      </c>
      <c r="B35" s="18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023A9-CDBE-4245-9C1E-6AB8985C5C8F}">
  <dimension ref="A1:I20"/>
  <sheetViews>
    <sheetView workbookViewId="0">
      <selection activeCell="K11" sqref="K11"/>
    </sheetView>
  </sheetViews>
  <sheetFormatPr baseColWidth="10" defaultColWidth="8.83203125" defaultRowHeight="14" x14ac:dyDescent="0.15"/>
  <cols>
    <col min="1" max="1" width="7.83203125" bestFit="1" customWidth="1"/>
    <col min="2" max="2" width="12.33203125" bestFit="1" customWidth="1"/>
    <col min="3" max="3" width="8.83203125" bestFit="1" customWidth="1"/>
    <col min="4" max="4" width="11.6640625" bestFit="1" customWidth="1"/>
    <col min="5" max="5" width="11.5" customWidth="1"/>
    <col min="6" max="6" width="12.5" customWidth="1"/>
    <col min="7" max="7" width="15.1640625" customWidth="1"/>
    <col min="8" max="8" width="8.83203125" customWidth="1"/>
  </cols>
  <sheetData>
    <row r="1" spans="1:9" s="14" customFormat="1" x14ac:dyDescent="0.15">
      <c r="A1" s="14" t="s">
        <v>2</v>
      </c>
      <c r="B1" s="14" t="s">
        <v>3</v>
      </c>
      <c r="C1" s="14" t="s">
        <v>4</v>
      </c>
      <c r="D1" s="14" t="s">
        <v>5</v>
      </c>
      <c r="E1" s="14" t="s">
        <v>6</v>
      </c>
      <c r="F1" s="14" t="s">
        <v>7</v>
      </c>
      <c r="G1" s="14" t="s">
        <v>8</v>
      </c>
      <c r="H1" s="14" t="s">
        <v>9</v>
      </c>
      <c r="I1" s="14" t="s">
        <v>72</v>
      </c>
    </row>
    <row r="2" spans="1:9" ht="15" x14ac:dyDescent="0.2">
      <c r="A2" t="s">
        <v>36</v>
      </c>
      <c r="B2" t="s">
        <v>37</v>
      </c>
      <c r="C2" t="s">
        <v>38</v>
      </c>
      <c r="D2" t="s">
        <v>11</v>
      </c>
      <c r="E2" t="s">
        <v>1</v>
      </c>
      <c r="F2" t="s">
        <v>39</v>
      </c>
      <c r="G2" t="s">
        <v>40</v>
      </c>
      <c r="I2" s="15">
        <f>IF(COUNTIFS($F$2:F2,F2,$E$2:E2,E2)=1,1,0)</f>
        <v>1</v>
      </c>
    </row>
    <row r="3" spans="1:9" ht="15" x14ac:dyDescent="0.2">
      <c r="A3" t="s">
        <v>36</v>
      </c>
      <c r="B3" t="s">
        <v>37</v>
      </c>
      <c r="C3" t="s">
        <v>38</v>
      </c>
      <c r="D3" t="s">
        <v>11</v>
      </c>
      <c r="E3" t="s">
        <v>1</v>
      </c>
      <c r="F3" t="s">
        <v>39</v>
      </c>
      <c r="G3" t="s">
        <v>41</v>
      </c>
      <c r="I3" s="15">
        <f>IF(COUNTIFS($F$2:F3,F3,$E$2:E3,E3)=1,1,0)</f>
        <v>0</v>
      </c>
    </row>
    <row r="4" spans="1:9" ht="15" x14ac:dyDescent="0.2">
      <c r="A4" t="s">
        <v>36</v>
      </c>
      <c r="B4" t="s">
        <v>37</v>
      </c>
      <c r="C4" t="s">
        <v>38</v>
      </c>
      <c r="D4" t="s">
        <v>11</v>
      </c>
      <c r="E4" t="s">
        <v>12</v>
      </c>
      <c r="F4" t="s">
        <v>14</v>
      </c>
      <c r="G4" t="s">
        <v>42</v>
      </c>
      <c r="I4" s="15">
        <f>IF(COUNTIFS($F$2:F4,F4,$E$2:E4,E4)=1,1,0)</f>
        <v>1</v>
      </c>
    </row>
    <row r="5" spans="1:9" ht="15" x14ac:dyDescent="0.2">
      <c r="A5" t="s">
        <v>36</v>
      </c>
      <c r="B5" t="s">
        <v>43</v>
      </c>
      <c r="C5" t="s">
        <v>44</v>
      </c>
      <c r="D5" t="s">
        <v>13</v>
      </c>
      <c r="E5" t="s">
        <v>1</v>
      </c>
      <c r="F5" t="s">
        <v>39</v>
      </c>
      <c r="G5" t="s">
        <v>41</v>
      </c>
      <c r="I5" s="15">
        <f>IF(COUNTIFS($F$2:F5,F5,$E$2:E5,E5)=1,1,0)</f>
        <v>0</v>
      </c>
    </row>
    <row r="6" spans="1:9" ht="15" x14ac:dyDescent="0.2">
      <c r="A6" t="s">
        <v>36</v>
      </c>
      <c r="B6" t="s">
        <v>45</v>
      </c>
      <c r="C6" t="s">
        <v>46</v>
      </c>
      <c r="D6" t="s">
        <v>15</v>
      </c>
      <c r="E6" t="s">
        <v>10</v>
      </c>
      <c r="F6" t="s">
        <v>47</v>
      </c>
      <c r="G6" t="s">
        <v>48</v>
      </c>
      <c r="I6" s="15">
        <f>IF(COUNTIFS($F$2:F6,F6,$E$2:E6,E6)=1,1,0)</f>
        <v>1</v>
      </c>
    </row>
    <row r="7" spans="1:9" ht="15" x14ac:dyDescent="0.2">
      <c r="A7" t="s">
        <v>36</v>
      </c>
      <c r="B7" t="s">
        <v>45</v>
      </c>
      <c r="C7" t="s">
        <v>46</v>
      </c>
      <c r="D7" t="s">
        <v>15</v>
      </c>
      <c r="E7" t="s">
        <v>10</v>
      </c>
      <c r="F7" t="s">
        <v>47</v>
      </c>
      <c r="G7" t="s">
        <v>49</v>
      </c>
      <c r="I7" s="15">
        <f>IF(COUNTIFS($F$2:F7,F7,$E$2:E7,E7)=1,1,0)</f>
        <v>0</v>
      </c>
    </row>
    <row r="8" spans="1:9" ht="15" x14ac:dyDescent="0.2">
      <c r="A8" t="s">
        <v>36</v>
      </c>
      <c r="B8" t="s">
        <v>45</v>
      </c>
      <c r="C8" t="s">
        <v>46</v>
      </c>
      <c r="D8" t="s">
        <v>15</v>
      </c>
      <c r="E8" t="s">
        <v>1</v>
      </c>
      <c r="F8" t="s">
        <v>39</v>
      </c>
      <c r="G8" t="s">
        <v>50</v>
      </c>
      <c r="I8" s="15">
        <f>IF(COUNTIFS($F$2:F8,F8,$E$2:E8,E8)=1,1,0)</f>
        <v>0</v>
      </c>
    </row>
    <row r="9" spans="1:9" ht="15" x14ac:dyDescent="0.2">
      <c r="A9" t="s">
        <v>36</v>
      </c>
      <c r="B9" t="s">
        <v>45</v>
      </c>
      <c r="C9" t="s">
        <v>46</v>
      </c>
      <c r="D9" t="s">
        <v>15</v>
      </c>
      <c r="E9" t="s">
        <v>1</v>
      </c>
      <c r="F9" t="s">
        <v>39</v>
      </c>
      <c r="G9" t="s">
        <v>51</v>
      </c>
      <c r="I9" s="15">
        <f>IF(COUNTIFS($F$2:F9,F9,$E$2:E9,E9)=1,1,0)</f>
        <v>0</v>
      </c>
    </row>
    <row r="10" spans="1:9" ht="15" x14ac:dyDescent="0.2">
      <c r="A10" t="s">
        <v>36</v>
      </c>
      <c r="B10" t="s">
        <v>45</v>
      </c>
      <c r="C10" t="s">
        <v>46</v>
      </c>
      <c r="D10" t="s">
        <v>15</v>
      </c>
      <c r="E10" t="s">
        <v>35</v>
      </c>
      <c r="F10" t="s">
        <v>52</v>
      </c>
      <c r="G10" t="s">
        <v>53</v>
      </c>
      <c r="I10" s="15">
        <f>IF(COUNTIFS($F$2:F10,F10,$E$2:E10,E10)=1,1,0)</f>
        <v>1</v>
      </c>
    </row>
    <row r="11" spans="1:9" ht="15" x14ac:dyDescent="0.2">
      <c r="A11" t="s">
        <v>36</v>
      </c>
      <c r="B11" t="s">
        <v>45</v>
      </c>
      <c r="C11" t="s">
        <v>46</v>
      </c>
      <c r="D11" t="s">
        <v>15</v>
      </c>
      <c r="E11" t="s">
        <v>12</v>
      </c>
      <c r="F11" t="s">
        <v>14</v>
      </c>
      <c r="G11" t="s">
        <v>54</v>
      </c>
      <c r="I11" s="15">
        <f>IF(COUNTIFS($F$2:F11,F11,$E$2:E11,E11)=1,1,0)</f>
        <v>0</v>
      </c>
    </row>
    <row r="12" spans="1:9" ht="15" x14ac:dyDescent="0.2">
      <c r="A12" t="s">
        <v>55</v>
      </c>
      <c r="B12" t="s">
        <v>56</v>
      </c>
      <c r="C12" t="s">
        <v>57</v>
      </c>
      <c r="D12" t="s">
        <v>58</v>
      </c>
      <c r="E12" t="s">
        <v>12</v>
      </c>
      <c r="F12" t="s">
        <v>59</v>
      </c>
      <c r="G12" t="s">
        <v>60</v>
      </c>
      <c r="I12" s="15">
        <f>IF(COUNTIFS($F$2:F12,F12,$E$2:E12,E12)=1,1,0)</f>
        <v>1</v>
      </c>
    </row>
    <row r="13" spans="1:9" ht="15" x14ac:dyDescent="0.2">
      <c r="A13" t="s">
        <v>55</v>
      </c>
      <c r="B13" t="s">
        <v>56</v>
      </c>
      <c r="C13" t="s">
        <v>57</v>
      </c>
      <c r="D13" t="s">
        <v>58</v>
      </c>
      <c r="E13" t="s">
        <v>12</v>
      </c>
      <c r="F13" t="s">
        <v>61</v>
      </c>
      <c r="G13" t="s">
        <v>62</v>
      </c>
      <c r="I13" s="15">
        <f>IF(COUNTIFS($F$2:F13,F13,$E$2:E13,E13)=1,1,0)</f>
        <v>1</v>
      </c>
    </row>
    <row r="14" spans="1:9" ht="15" x14ac:dyDescent="0.2">
      <c r="A14" t="s">
        <v>63</v>
      </c>
      <c r="B14" t="s">
        <v>64</v>
      </c>
      <c r="C14" t="s">
        <v>65</v>
      </c>
      <c r="D14" t="s">
        <v>58</v>
      </c>
      <c r="E14" t="s">
        <v>12</v>
      </c>
      <c r="F14" t="s">
        <v>59</v>
      </c>
      <c r="G14" t="s">
        <v>60</v>
      </c>
      <c r="I14" s="15">
        <f>IF(COUNTIFS($F$2:F14,F14,$E$2:E14,E14)=1,1,0)</f>
        <v>0</v>
      </c>
    </row>
    <row r="15" spans="1:9" ht="15" x14ac:dyDescent="0.2">
      <c r="A15" t="s">
        <v>63</v>
      </c>
      <c r="B15" t="s">
        <v>64</v>
      </c>
      <c r="C15" t="s">
        <v>65</v>
      </c>
      <c r="D15" t="s">
        <v>58</v>
      </c>
      <c r="E15" t="s">
        <v>12</v>
      </c>
      <c r="F15" t="s">
        <v>61</v>
      </c>
      <c r="G15" t="s">
        <v>62</v>
      </c>
      <c r="I15" s="15">
        <f>IF(COUNTIFS($F$2:F15,F15,$E$2:E15,E15)=1,1,0)</f>
        <v>0</v>
      </c>
    </row>
    <row r="16" spans="1:9" ht="15" x14ac:dyDescent="0.2">
      <c r="A16" t="s">
        <v>66</v>
      </c>
      <c r="C16" t="s">
        <v>58</v>
      </c>
      <c r="D16" t="s">
        <v>58</v>
      </c>
      <c r="E16" t="s">
        <v>12</v>
      </c>
      <c r="F16" t="s">
        <v>67</v>
      </c>
      <c r="G16" t="s">
        <v>68</v>
      </c>
      <c r="I16" s="15">
        <f>IF(COUNTIFS($F$2:F16,F16,$E$2:E16,E16)=1,1,0)</f>
        <v>1</v>
      </c>
    </row>
    <row r="17" spans="1:9" ht="15" x14ac:dyDescent="0.2">
      <c r="A17" t="s">
        <v>69</v>
      </c>
      <c r="C17" t="s">
        <v>58</v>
      </c>
      <c r="D17" t="s">
        <v>58</v>
      </c>
      <c r="E17" t="s">
        <v>12</v>
      </c>
      <c r="F17" t="s">
        <v>67</v>
      </c>
      <c r="G17" t="s">
        <v>68</v>
      </c>
      <c r="I17" s="15">
        <f>IF(COUNTIFS($F$2:F17,F17,$E$2:E17,E17)=1,1,0)</f>
        <v>0</v>
      </c>
    </row>
    <row r="18" spans="1:9" ht="15" x14ac:dyDescent="0.2">
      <c r="A18" t="s">
        <v>69</v>
      </c>
      <c r="C18" t="s">
        <v>58</v>
      </c>
      <c r="D18" t="s">
        <v>58</v>
      </c>
      <c r="E18" t="s">
        <v>12</v>
      </c>
      <c r="F18" t="s">
        <v>70</v>
      </c>
      <c r="G18" t="s">
        <v>71</v>
      </c>
      <c r="I18" s="15">
        <f>IF(COUNTIFS($F$2:F18,F18,$E$2:E18,E18)=1,1,0)</f>
        <v>1</v>
      </c>
    </row>
    <row r="19" spans="1:9" ht="15" x14ac:dyDescent="0.2">
      <c r="A19" t="s">
        <v>69</v>
      </c>
      <c r="C19" t="s">
        <v>58</v>
      </c>
      <c r="D19" t="s">
        <v>58</v>
      </c>
      <c r="F19" t="s">
        <v>70</v>
      </c>
      <c r="G19" t="s">
        <v>71</v>
      </c>
      <c r="I19" s="15">
        <f>IF(COUNTIFS($F$2:F19,F19,$E$2:E19,E19)=1,1,0)</f>
        <v>0</v>
      </c>
    </row>
    <row r="20" spans="1:9" ht="15" x14ac:dyDescent="0.2">
      <c r="A20" t="s">
        <v>69</v>
      </c>
      <c r="C20" t="s">
        <v>58</v>
      </c>
      <c r="D20" t="s">
        <v>58</v>
      </c>
      <c r="E20" t="s">
        <v>12</v>
      </c>
      <c r="F20" t="s">
        <v>70</v>
      </c>
      <c r="G20" t="s">
        <v>71</v>
      </c>
      <c r="I20" s="15">
        <f>IF(COUNTIFS($F$2:F20,F20,$E$2:E20,E20)=1,1,0)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00E59-BCEB-4F39-8512-BDF31D67C5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AnalysisSummary</vt:lpstr>
      <vt:lpstr>PivotTable</vt:lpstr>
      <vt:lpstr>AnalysisResults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Gergely Juhasz</cp:lastModifiedBy>
  <dcterms:created xsi:type="dcterms:W3CDTF">2025-03-19T18:11:50Z</dcterms:created>
  <dcterms:modified xsi:type="dcterms:W3CDTF">2026-05-29T14:06:38Z</dcterms:modified>
</cp:coreProperties>
</file>